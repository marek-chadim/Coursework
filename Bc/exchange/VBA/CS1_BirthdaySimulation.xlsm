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drawings/drawing4.xml" ContentType="application/vnd.openxmlformats-officedocument.drawingml.chartshapes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120" yWindow="105" windowWidth="15180" windowHeight="8835"/>
  </bookViews>
  <sheets>
    <sheet name="Welcome" sheetId="5" r:id="rId1"/>
    <sheet name="Birthdays" sheetId="1" state="hidden" r:id="rId2"/>
    <sheet name="Analysis" sheetId="6" state="hidden" r:id="rId3"/>
    <sheet name="Smile Picture" sheetId="4" state="hidden" r:id="rId4"/>
    <sheet name="Simulation" sheetId="7" state="hidden" r:id="rId5"/>
  </sheets>
  <definedNames>
    <definedName name="BDayBin">Analysis!$A$11:$A$60</definedName>
    <definedName name="Calendar">Birthdays!$F$14:$Q$44</definedName>
    <definedName name="Extra1">Analysis!$B$9:$B$10</definedName>
    <definedName name="Extra2">Analysis!$B$63:$C$68</definedName>
    <definedName name="HitRes">Birthdays!$T$21</definedName>
    <definedName name="ProbRes">Analysis!$C$9</definedName>
    <definedName name="solver_cvg" localSheetId="4" hidden="1">0.01</definedName>
    <definedName name="solver_eval" hidden="1">2</definedName>
    <definedName name="solver_int" localSheetId="4" hidden="1">0</definedName>
    <definedName name="solver_mod" localSheetId="4" hidden="1">1</definedName>
    <definedName name="solver_nsim" hidden="1">1</definedName>
    <definedName name="solver_ntr" localSheetId="4" hidden="1">0</definedName>
    <definedName name="solver_ntri" hidden="1">100</definedName>
    <definedName name="solver_typ" localSheetId="1" hidden="1">2</definedName>
    <definedName name="solver_typ" localSheetId="4" hidden="1">2</definedName>
    <definedName name="solver_ver" localSheetId="1" hidden="1">10</definedName>
    <definedName name="solver_ver" localSheetId="4" hidden="1">10</definedName>
    <definedName name="solveri_ISpPars_A2" localSheetId="4" hidden="1">"RiskSolver.UI.Charts.InputDlgPars:-1000001;1;1;145;23;41;54;0;90;80;0;0;0;0;"</definedName>
  </definedNames>
  <calcPr calcId="145621"/>
</workbook>
</file>

<file path=xl/calcChain.xml><?xml version="1.0" encoding="utf-8"?>
<calcChain xmlns="http://schemas.openxmlformats.org/spreadsheetml/2006/main">
  <c r="B52" i="7" l="1"/>
  <c r="B51" i="7"/>
  <c r="B50" i="7"/>
  <c r="B49" i="7"/>
  <c r="B48" i="7"/>
  <c r="B47" i="7"/>
  <c r="B46" i="7"/>
  <c r="B45" i="7"/>
  <c r="B44" i="7"/>
  <c r="B43" i="7"/>
  <c r="B42" i="7"/>
  <c r="B41" i="7"/>
  <c r="B40" i="7"/>
  <c r="B39" i="7"/>
  <c r="B38" i="7"/>
  <c r="B37" i="7"/>
  <c r="B36" i="7"/>
  <c r="B35" i="7"/>
  <c r="B34" i="7"/>
  <c r="B33" i="7"/>
  <c r="B32" i="7"/>
  <c r="B31" i="7"/>
  <c r="B30" i="7"/>
  <c r="B29" i="7"/>
  <c r="B28" i="7"/>
  <c r="B27" i="7"/>
  <c r="B26" i="7"/>
  <c r="B25" i="7"/>
  <c r="B24" i="7"/>
  <c r="B23" i="7"/>
  <c r="B22" i="7"/>
  <c r="B21" i="7"/>
  <c r="B20" i="7"/>
  <c r="B19" i="7"/>
  <c r="B18" i="7"/>
  <c r="B17" i="7"/>
  <c r="B16" i="7"/>
  <c r="B15" i="7"/>
  <c r="B14" i="7"/>
  <c r="B13" i="7"/>
  <c r="B12" i="7"/>
  <c r="B11" i="7"/>
  <c r="B10" i="7"/>
  <c r="B9" i="7"/>
  <c r="B8" i="7"/>
  <c r="B7" i="7"/>
  <c r="B6" i="7"/>
  <c r="B5" i="7"/>
  <c r="B4" i="7"/>
  <c r="B3" i="7"/>
  <c r="I7" i="7"/>
  <c r="D3" i="7"/>
  <c r="E3" i="7"/>
  <c r="C3" i="7"/>
  <c r="F3" i="7" l="1"/>
  <c r="D52" i="7"/>
  <c r="E52" i="7"/>
  <c r="C52" i="7"/>
  <c r="D51" i="7"/>
  <c r="E51" i="7"/>
  <c r="C51" i="7"/>
  <c r="D50" i="7"/>
  <c r="C50" i="7"/>
  <c r="E50" i="7"/>
  <c r="C49" i="7"/>
  <c r="E49" i="7"/>
  <c r="D49" i="7"/>
  <c r="D48" i="7"/>
  <c r="E48" i="7"/>
  <c r="C48" i="7"/>
  <c r="E47" i="7"/>
  <c r="D47" i="7"/>
  <c r="C47" i="7"/>
  <c r="D46" i="7"/>
  <c r="C46" i="7"/>
  <c r="E46" i="7"/>
  <c r="D45" i="7"/>
  <c r="C45" i="7"/>
  <c r="E45" i="7"/>
  <c r="E44" i="7"/>
  <c r="D44" i="7"/>
  <c r="C44" i="7"/>
  <c r="E43" i="7"/>
  <c r="C43" i="7"/>
  <c r="D43" i="7"/>
  <c r="D42" i="7"/>
  <c r="E42" i="7"/>
  <c r="C42" i="7"/>
  <c r="D41" i="7"/>
  <c r="C41" i="7"/>
  <c r="E41" i="7"/>
  <c r="D40" i="7"/>
  <c r="E40" i="7"/>
  <c r="C40" i="7"/>
  <c r="D39" i="7"/>
  <c r="C39" i="7"/>
  <c r="E39" i="7"/>
  <c r="D38" i="7"/>
  <c r="C38" i="7"/>
  <c r="E38" i="7"/>
  <c r="E37" i="7"/>
  <c r="C37" i="7"/>
  <c r="D37" i="7"/>
  <c r="E36" i="7"/>
  <c r="D36" i="7"/>
  <c r="C36" i="7"/>
  <c r="D35" i="7"/>
  <c r="E35" i="7"/>
  <c r="C35" i="7"/>
  <c r="E34" i="7"/>
  <c r="C34" i="7"/>
  <c r="D34" i="7"/>
  <c r="D33" i="7"/>
  <c r="C33" i="7"/>
  <c r="E33" i="7"/>
  <c r="D32" i="7"/>
  <c r="E32" i="7"/>
  <c r="C32" i="7"/>
  <c r="D31" i="7"/>
  <c r="E31" i="7"/>
  <c r="C31" i="7"/>
  <c r="D30" i="7"/>
  <c r="E30" i="7"/>
  <c r="C30" i="7"/>
  <c r="D29" i="7"/>
  <c r="C29" i="7"/>
  <c r="E29" i="7"/>
  <c r="D28" i="7"/>
  <c r="E28" i="7"/>
  <c r="C28" i="7"/>
  <c r="D27" i="7"/>
  <c r="C27" i="7"/>
  <c r="E27" i="7"/>
  <c r="C26" i="7"/>
  <c r="D26" i="7"/>
  <c r="E26" i="7"/>
  <c r="D25" i="7"/>
  <c r="C25" i="7"/>
  <c r="E25" i="7"/>
  <c r="D24" i="7"/>
  <c r="E24" i="7"/>
  <c r="C24" i="7"/>
  <c r="D23" i="7"/>
  <c r="C23" i="7"/>
  <c r="E23" i="7"/>
  <c r="D22" i="7"/>
  <c r="C22" i="7"/>
  <c r="E22" i="7"/>
  <c r="D21" i="7"/>
  <c r="C21" i="7"/>
  <c r="E21" i="7"/>
  <c r="D20" i="7"/>
  <c r="E20" i="7"/>
  <c r="C20" i="7"/>
  <c r="D19" i="7"/>
  <c r="E19" i="7"/>
  <c r="C19" i="7"/>
  <c r="D18" i="7"/>
  <c r="C18" i="7"/>
  <c r="E18" i="7"/>
  <c r="D17" i="7"/>
  <c r="E17" i="7"/>
  <c r="C17" i="7"/>
  <c r="E16" i="7"/>
  <c r="C16" i="7"/>
  <c r="D16" i="7"/>
  <c r="D15" i="7"/>
  <c r="E15" i="7"/>
  <c r="C15" i="7"/>
  <c r="D14" i="7"/>
  <c r="C14" i="7"/>
  <c r="E14" i="7"/>
  <c r="E13" i="7"/>
  <c r="D13" i="7"/>
  <c r="C13" i="7"/>
  <c r="D12" i="7"/>
  <c r="C12" i="7"/>
  <c r="E12" i="7"/>
  <c r="D11" i="7"/>
  <c r="E11" i="7"/>
  <c r="C11" i="7"/>
  <c r="D10" i="7"/>
  <c r="E10" i="7"/>
  <c r="C10" i="7"/>
  <c r="E9" i="7"/>
  <c r="D9" i="7"/>
  <c r="C9" i="7"/>
  <c r="C8" i="7"/>
  <c r="E8" i="7"/>
  <c r="D8" i="7"/>
  <c r="D7" i="7"/>
  <c r="C7" i="7"/>
  <c r="E7" i="7"/>
  <c r="D6" i="7"/>
  <c r="C6" i="7"/>
  <c r="E6" i="7"/>
  <c r="E5" i="7"/>
  <c r="D5" i="7"/>
  <c r="C5" i="7"/>
  <c r="D4" i="7"/>
  <c r="C4" i="7"/>
  <c r="E4" i="7"/>
  <c r="F52" i="7" l="1"/>
  <c r="G52" i="7" s="1"/>
  <c r="F51" i="7"/>
  <c r="F50" i="7"/>
  <c r="F49" i="7"/>
  <c r="F48" i="7"/>
  <c r="F47" i="7"/>
  <c r="F46" i="7"/>
  <c r="F45" i="7"/>
  <c r="F44" i="7"/>
  <c r="F43" i="7"/>
  <c r="F42" i="7"/>
  <c r="F41" i="7"/>
  <c r="F40" i="7"/>
  <c r="F39" i="7"/>
  <c r="F38" i="7"/>
  <c r="F37" i="7"/>
  <c r="F36" i="7"/>
  <c r="F35" i="7"/>
  <c r="F34" i="7"/>
  <c r="F33" i="7"/>
  <c r="F32" i="7"/>
  <c r="F31" i="7"/>
  <c r="F30" i="7"/>
  <c r="F29" i="7"/>
  <c r="F28" i="7"/>
  <c r="F27" i="7"/>
  <c r="F26" i="7"/>
  <c r="F25" i="7"/>
  <c r="F24" i="7"/>
  <c r="F23" i="7"/>
  <c r="F22" i="7"/>
  <c r="F21" i="7"/>
  <c r="F20" i="7"/>
  <c r="F19" i="7"/>
  <c r="F18" i="7"/>
  <c r="F17" i="7"/>
  <c r="F16" i="7"/>
  <c r="F15" i="7"/>
  <c r="F14" i="7"/>
  <c r="F13" i="7"/>
  <c r="F12" i="7"/>
  <c r="F11" i="7"/>
  <c r="F10" i="7"/>
  <c r="F9" i="7"/>
  <c r="F8" i="7"/>
  <c r="F7" i="7"/>
  <c r="F6" i="7"/>
  <c r="F5" i="7"/>
  <c r="F4" i="7"/>
  <c r="G51" i="7" l="1"/>
  <c r="G50" i="7"/>
  <c r="G49" i="7"/>
  <c r="G48" i="7"/>
  <c r="G47" i="7"/>
  <c r="G46" i="7"/>
  <c r="G45" i="7"/>
  <c r="G44" i="7"/>
  <c r="G43" i="7"/>
  <c r="G42" i="7"/>
  <c r="G41" i="7"/>
  <c r="G40" i="7"/>
  <c r="G39" i="7"/>
  <c r="G38" i="7"/>
  <c r="G37" i="7"/>
  <c r="G36" i="7"/>
  <c r="G35" i="7"/>
  <c r="G34" i="7"/>
  <c r="G33" i="7"/>
  <c r="G32" i="7"/>
  <c r="G31" i="7"/>
  <c r="G30" i="7"/>
  <c r="G29" i="7"/>
  <c r="G28" i="7"/>
  <c r="G27" i="7"/>
  <c r="G26" i="7"/>
  <c r="G25" i="7"/>
  <c r="G24" i="7"/>
  <c r="G23" i="7"/>
  <c r="G22" i="7"/>
  <c r="G21" i="7"/>
  <c r="G20" i="7"/>
  <c r="G19" i="7"/>
  <c r="G18" i="7"/>
  <c r="G17" i="7"/>
  <c r="G16" i="7"/>
  <c r="G15" i="7"/>
  <c r="G14" i="7"/>
  <c r="G13" i="7"/>
  <c r="G12" i="7"/>
  <c r="G11" i="7"/>
  <c r="G10" i="7"/>
  <c r="G9" i="7"/>
  <c r="G8" i="7"/>
  <c r="G7" i="7"/>
  <c r="G6" i="7"/>
  <c r="G5" i="7"/>
  <c r="G4" i="7"/>
  <c r="G3" i="7"/>
  <c r="I2" i="7" l="1"/>
  <c r="I5" i="7"/>
</calcChain>
</file>

<file path=xl/sharedStrings.xml><?xml version="1.0" encoding="utf-8"?>
<sst xmlns="http://schemas.openxmlformats.org/spreadsheetml/2006/main" count="30" uniqueCount="29">
  <si>
    <t>Jan</t>
  </si>
  <si>
    <t>Feb</t>
  </si>
  <si>
    <t>Mar</t>
  </si>
  <si>
    <t>May</t>
  </si>
  <si>
    <t>Apr</t>
  </si>
  <si>
    <t>Jun</t>
  </si>
  <si>
    <t>Jul</t>
  </si>
  <si>
    <t>Aug</t>
  </si>
  <si>
    <t>Sep</t>
  </si>
  <si>
    <t>Oct</t>
  </si>
  <si>
    <t>Nov</t>
  </si>
  <si>
    <t>Dec</t>
  </si>
  <si>
    <t>More</t>
  </si>
  <si>
    <t>©2011 Eksioglu, Seref, Ahuja, Winston</t>
  </si>
  <si>
    <t>Month</t>
  </si>
  <si>
    <t>Month:      2</t>
  </si>
  <si>
    <t>Class Size</t>
  </si>
  <si>
    <t>Is there a match?</t>
  </si>
  <si>
    <t>Concatenate Results</t>
  </si>
  <si>
    <t>Months:                1, 3, 5, 7, 8, 10, 12</t>
  </si>
  <si>
    <t>Months:      4, 6, 9, 11</t>
  </si>
  <si>
    <t>Brd.</t>
  </si>
  <si>
    <t>The Dayof Bday</t>
  </si>
  <si>
    <t>Nr. of matches:</t>
  </si>
  <si>
    <t>match</t>
  </si>
  <si>
    <t>Prob. of a</t>
  </si>
  <si>
    <t>Overall mean:</t>
  </si>
  <si>
    <t>Prob. of a match</t>
  </si>
  <si>
    <t>There is a 50% chance that 2 or more stuents have the same birthday in a class of size 21.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</si>
</sst>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.00%"/>
  </numFmts>
  <fonts count="11" x14ac:knownFonts="1">
    <font>
      <sz val="10"/>
      <name val="Arial"/>
    </font>
    <font>
      <sz val="8"/>
      <name val="Arial"/>
      <family val="2"/>
    </font>
    <font>
      <b/>
      <sz val="8"/>
      <name val="Arial"/>
      <family val="2"/>
    </font>
    <font>
      <b/>
      <sz val="8"/>
      <name val="Arial"/>
      <family val="2"/>
    </font>
    <font>
      <sz val="8"/>
      <name val="Arial"/>
      <family val="2"/>
    </font>
    <font>
      <b/>
      <sz val="12"/>
      <name val="Arial"/>
      <family val="2"/>
    </font>
    <font>
      <b/>
      <sz val="10"/>
      <name val="Arial"/>
      <family val="2"/>
    </font>
    <font>
      <i/>
      <sz val="10"/>
      <name val="Arial"/>
      <family val="2"/>
    </font>
    <font>
      <sz val="8"/>
      <color rgb="FF000000"/>
      <name val="Tahoma"/>
      <family val="2"/>
    </font>
    <font>
      <sz val="10"/>
      <name val="Arial"/>
      <family val="2"/>
    </font>
    <font>
      <b/>
      <sz val="10"/>
      <color theme="0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indexed="44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indexed="45"/>
        <bgColor indexed="64"/>
      </patternFill>
    </fill>
  </fills>
  <borders count="15">
    <border>
      <left/>
      <right/>
      <top/>
      <bottom/>
      <diagonal/>
    </border>
    <border>
      <left style="double">
        <color indexed="64"/>
      </left>
      <right/>
      <top/>
      <bottom/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8"/>
      </left>
      <right style="medium">
        <color indexed="8"/>
      </right>
      <top style="medium">
        <color indexed="8"/>
      </top>
      <bottom/>
      <diagonal/>
    </border>
    <border>
      <left style="medium">
        <color indexed="8"/>
      </left>
      <right style="medium">
        <color indexed="8"/>
      </right>
      <top/>
      <bottom style="medium">
        <color indexed="8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</borders>
  <cellStyleXfs count="1">
    <xf numFmtId="0" fontId="0" fillId="0" borderId="0"/>
  </cellStyleXfs>
  <cellXfs count="74">
    <xf numFmtId="0" fontId="0" fillId="0" borderId="0" xfId="0"/>
    <xf numFmtId="0" fontId="2" fillId="2" borderId="0" xfId="0" applyFont="1" applyFill="1" applyBorder="1" applyAlignment="1">
      <alignment horizontal="center" vertical="center"/>
    </xf>
    <xf numFmtId="0" fontId="0" fillId="2" borderId="0" xfId="0" applyFill="1" applyBorder="1"/>
    <xf numFmtId="0" fontId="2" fillId="2" borderId="0" xfId="0" applyFont="1" applyFill="1" applyBorder="1" applyAlignment="1">
      <alignment horizontal="center"/>
    </xf>
    <xf numFmtId="0" fontId="6" fillId="2" borderId="0" xfId="0" applyFont="1" applyFill="1" applyBorder="1"/>
    <xf numFmtId="0" fontId="2" fillId="2" borderId="0" xfId="0" applyFont="1" applyFill="1" applyBorder="1"/>
    <xf numFmtId="0" fontId="0" fillId="2" borderId="0" xfId="0" applyFill="1"/>
    <xf numFmtId="0" fontId="0" fillId="2" borderId="0" xfId="0" applyFill="1" applyBorder="1" applyAlignment="1"/>
    <xf numFmtId="0" fontId="5" fillId="2" borderId="1" xfId="0" applyFont="1" applyFill="1" applyBorder="1" applyAlignment="1">
      <alignment horizontal="left"/>
    </xf>
    <xf numFmtId="0" fontId="5" fillId="2" borderId="0" xfId="0" applyFont="1" applyFill="1" applyBorder="1" applyAlignment="1">
      <alignment horizontal="center"/>
    </xf>
    <xf numFmtId="0" fontId="3" fillId="2" borderId="0" xfId="0" applyFont="1" applyFill="1" applyAlignment="1"/>
    <xf numFmtId="0" fontId="3" fillId="2" borderId="0" xfId="0" applyFont="1" applyFill="1" applyAlignment="1">
      <alignment wrapText="1"/>
    </xf>
    <xf numFmtId="0" fontId="3" fillId="2" borderId="0" xfId="0" applyFont="1" applyFill="1" applyAlignment="1">
      <alignment horizontal="center" wrapText="1"/>
    </xf>
    <xf numFmtId="0" fontId="4" fillId="2" borderId="0" xfId="0" applyFont="1" applyFill="1" applyAlignment="1">
      <alignment horizontal="center"/>
    </xf>
    <xf numFmtId="0" fontId="1" fillId="2" borderId="0" xfId="0" applyFont="1" applyFill="1" applyAlignment="1">
      <alignment horizontal="center"/>
    </xf>
    <xf numFmtId="0" fontId="2" fillId="2" borderId="0" xfId="0" applyFont="1" applyFill="1"/>
    <xf numFmtId="0" fontId="0" fillId="3" borderId="2" xfId="0" applyFill="1" applyBorder="1" applyAlignment="1" applyProtection="1">
      <alignment horizontal="center"/>
      <protection locked="0"/>
    </xf>
    <xf numFmtId="0" fontId="0" fillId="3" borderId="2" xfId="0" applyFill="1" applyBorder="1" applyProtection="1">
      <protection locked="0"/>
    </xf>
    <xf numFmtId="0" fontId="7" fillId="0" borderId="3" xfId="0" applyFont="1" applyFill="1" applyBorder="1" applyAlignment="1">
      <alignment horizontal="center"/>
    </xf>
    <xf numFmtId="0" fontId="0" fillId="2" borderId="0" xfId="0" applyNumberFormat="1" applyFill="1" applyBorder="1" applyAlignment="1"/>
    <xf numFmtId="164" fontId="0" fillId="2" borderId="0" xfId="0" applyNumberFormat="1" applyFill="1" applyBorder="1" applyAlignment="1"/>
    <xf numFmtId="164" fontId="0" fillId="3" borderId="0" xfId="0" applyNumberFormat="1" applyFill="1"/>
    <xf numFmtId="0" fontId="0" fillId="0" borderId="4" xfId="0" applyFill="1" applyBorder="1" applyAlignment="1"/>
    <xf numFmtId="0" fontId="0" fillId="0" borderId="0" xfId="0" applyNumberFormat="1" applyFill="1" applyBorder="1" applyAlignment="1"/>
    <xf numFmtId="0" fontId="6" fillId="4" borderId="0" xfId="0" applyFont="1" applyFill="1"/>
    <xf numFmtId="10" fontId="0" fillId="3" borderId="0" xfId="0" applyNumberFormat="1" applyFill="1"/>
    <xf numFmtId="10" fontId="0" fillId="0" borderId="0" xfId="0" applyNumberFormat="1" applyFill="1" applyBorder="1" applyAlignment="1"/>
    <xf numFmtId="10" fontId="0" fillId="0" borderId="4" xfId="0" applyNumberFormat="1" applyFill="1" applyBorder="1" applyAlignment="1"/>
    <xf numFmtId="0" fontId="2" fillId="2" borderId="0" xfId="0" applyFont="1" applyFill="1" applyBorder="1" applyAlignment="1">
      <alignment vertical="center"/>
    </xf>
    <xf numFmtId="10" fontId="0" fillId="2" borderId="0" xfId="0" applyNumberFormat="1" applyFill="1"/>
    <xf numFmtId="10" fontId="2" fillId="2" borderId="0" xfId="0" applyNumberFormat="1" applyFont="1" applyFill="1" applyAlignment="1">
      <alignment wrapText="1"/>
    </xf>
    <xf numFmtId="10" fontId="2" fillId="2" borderId="0" xfId="0" applyNumberFormat="1" applyFont="1" applyFill="1" applyAlignment="1">
      <alignment horizontal="center" wrapText="1"/>
    </xf>
    <xf numFmtId="10" fontId="0" fillId="2" borderId="0" xfId="0" applyNumberFormat="1" applyFill="1" applyAlignment="1">
      <alignment horizontal="center"/>
    </xf>
    <xf numFmtId="10" fontId="6" fillId="4" borderId="0" xfId="0" applyNumberFormat="1" applyFont="1" applyFill="1"/>
    <xf numFmtId="10" fontId="0" fillId="2" borderId="0" xfId="0" applyNumberFormat="1" applyFill="1" applyBorder="1" applyAlignment="1"/>
    <xf numFmtId="10" fontId="2" fillId="2" borderId="0" xfId="0" applyNumberFormat="1" applyFont="1" applyFill="1" applyBorder="1" applyAlignment="1">
      <alignment horizontal="right" vertical="center" wrapText="1"/>
    </xf>
    <xf numFmtId="10" fontId="2" fillId="2" borderId="0" xfId="0" applyNumberFormat="1" applyFont="1" applyFill="1" applyBorder="1" applyAlignment="1">
      <alignment horizontal="right" vertical="center"/>
    </xf>
    <xf numFmtId="10" fontId="2" fillId="2" borderId="0" xfId="0" applyNumberFormat="1" applyFont="1" applyFill="1" applyBorder="1" applyAlignment="1">
      <alignment vertical="center"/>
    </xf>
    <xf numFmtId="10" fontId="2" fillId="2" borderId="0" xfId="0" applyNumberFormat="1" applyFont="1" applyFill="1" applyBorder="1" applyAlignment="1"/>
    <xf numFmtId="10" fontId="2" fillId="2" borderId="0" xfId="0" applyNumberFormat="1" applyFont="1" applyFill="1" applyBorder="1" applyAlignment="1">
      <alignment horizontal="center"/>
    </xf>
    <xf numFmtId="0" fontId="10" fillId="5" borderId="8" xfId="0" applyFont="1" applyFill="1" applyBorder="1" applyAlignment="1">
      <alignment horizontal="center" vertical="center"/>
    </xf>
    <xf numFmtId="1" fontId="10" fillId="5" borderId="7" xfId="0" applyNumberFormat="1" applyFont="1" applyFill="1" applyBorder="1" applyAlignment="1">
      <alignment horizontal="center" vertical="center"/>
    </xf>
    <xf numFmtId="0" fontId="10" fillId="5" borderId="9" xfId="0" applyFont="1" applyFill="1" applyBorder="1" applyAlignment="1">
      <alignment horizontal="center" vertical="center"/>
    </xf>
    <xf numFmtId="0" fontId="10" fillId="5" borderId="7" xfId="0" applyFont="1" applyFill="1" applyBorder="1" applyAlignment="1">
      <alignment horizontal="center" vertical="center"/>
    </xf>
    <xf numFmtId="0" fontId="10" fillId="5" borderId="9" xfId="0" applyFont="1" applyFill="1" applyBorder="1" applyAlignment="1">
      <alignment horizontal="center"/>
    </xf>
    <xf numFmtId="0" fontId="10" fillId="5" borderId="11" xfId="0" applyFont="1" applyFill="1" applyBorder="1" applyAlignment="1">
      <alignment horizontal="center"/>
    </xf>
    <xf numFmtId="0" fontId="10" fillId="5" borderId="13" xfId="0" applyFont="1" applyFill="1" applyBorder="1" applyAlignment="1">
      <alignment horizontal="center"/>
    </xf>
    <xf numFmtId="0" fontId="10" fillId="5" borderId="0" xfId="0" applyFont="1" applyFill="1" applyBorder="1" applyAlignment="1">
      <alignment horizontal="center" vertical="center"/>
    </xf>
    <xf numFmtId="0" fontId="10" fillId="5" borderId="0" xfId="0" applyFont="1" applyFill="1" applyBorder="1" applyAlignment="1">
      <alignment horizontal="center" vertical="center" wrapText="1"/>
    </xf>
    <xf numFmtId="1" fontId="10" fillId="5" borderId="0" xfId="0" applyNumberFormat="1" applyFont="1" applyFill="1" applyBorder="1" applyAlignment="1">
      <alignment horizontal="center" vertical="center" wrapText="1"/>
    </xf>
    <xf numFmtId="0" fontId="10" fillId="5" borderId="14" xfId="0" applyFont="1" applyFill="1" applyBorder="1" applyAlignment="1">
      <alignment horizontal="center" vertical="center" wrapText="1"/>
    </xf>
    <xf numFmtId="0" fontId="9" fillId="6" borderId="0" xfId="0" applyFont="1" applyFill="1"/>
    <xf numFmtId="0" fontId="6" fillId="6" borderId="0" xfId="0" applyFont="1" applyFill="1" applyAlignment="1">
      <alignment horizontal="center" vertical="center"/>
    </xf>
    <xf numFmtId="0" fontId="6" fillId="6" borderId="8" xfId="0" applyFont="1" applyFill="1" applyBorder="1" applyAlignment="1">
      <alignment horizontal="center"/>
    </xf>
    <xf numFmtId="0" fontId="9" fillId="6" borderId="0" xfId="0" applyFont="1" applyFill="1" applyAlignment="1">
      <alignment horizontal="center"/>
    </xf>
    <xf numFmtId="0" fontId="6" fillId="6" borderId="12" xfId="0" applyFont="1" applyFill="1" applyBorder="1" applyAlignment="1">
      <alignment horizontal="center"/>
    </xf>
    <xf numFmtId="0" fontId="9" fillId="6" borderId="0" xfId="0" applyFont="1" applyFill="1" applyBorder="1" applyAlignment="1">
      <alignment horizontal="center" vertical="center"/>
    </xf>
    <xf numFmtId="1" fontId="9" fillId="6" borderId="0" xfId="0" applyNumberFormat="1" applyFont="1" applyFill="1" applyBorder="1" applyAlignment="1">
      <alignment horizontal="center" vertical="center"/>
    </xf>
    <xf numFmtId="0" fontId="9" fillId="6" borderId="14" xfId="0" applyFont="1" applyFill="1" applyBorder="1" applyAlignment="1">
      <alignment horizontal="center" vertical="center"/>
    </xf>
    <xf numFmtId="10" fontId="6" fillId="6" borderId="0" xfId="0" applyNumberFormat="1" applyFont="1" applyFill="1" applyAlignment="1">
      <alignment horizontal="center" vertical="center"/>
    </xf>
    <xf numFmtId="0" fontId="6" fillId="6" borderId="10" xfId="0" applyFont="1" applyFill="1" applyBorder="1" applyAlignment="1">
      <alignment horizontal="center"/>
    </xf>
    <xf numFmtId="0" fontId="6" fillId="6" borderId="0" xfId="0" applyFont="1" applyFill="1" applyAlignment="1">
      <alignment horizontal="center"/>
    </xf>
    <xf numFmtId="0" fontId="9" fillId="6" borderId="0" xfId="0" applyFont="1" applyFill="1" applyAlignment="1">
      <alignment horizontal="center" vertical="center"/>
    </xf>
    <xf numFmtId="1" fontId="9" fillId="6" borderId="0" xfId="0" applyNumberFormat="1" applyFont="1" applyFill="1" applyAlignment="1">
      <alignment horizontal="center" vertical="center"/>
    </xf>
    <xf numFmtId="0" fontId="6" fillId="6" borderId="0" xfId="0" applyFont="1" applyFill="1"/>
    <xf numFmtId="1" fontId="9" fillId="6" borderId="0" xfId="0" applyNumberFormat="1" applyFont="1" applyFill="1"/>
    <xf numFmtId="0" fontId="10" fillId="5" borderId="13" xfId="0" applyFont="1" applyFill="1" applyBorder="1" applyAlignment="1">
      <alignment horizontal="center" vertical="center" wrapText="1"/>
    </xf>
    <xf numFmtId="0" fontId="10" fillId="5" borderId="12" xfId="0" applyFont="1" applyFill="1" applyBorder="1" applyAlignment="1">
      <alignment horizontal="center" vertical="center"/>
    </xf>
    <xf numFmtId="0" fontId="2" fillId="2" borderId="5" xfId="0" applyFont="1" applyFill="1" applyBorder="1" applyAlignment="1">
      <alignment horizontal="center" vertical="center"/>
    </xf>
    <xf numFmtId="0" fontId="2" fillId="2" borderId="6" xfId="0" applyFont="1" applyFill="1" applyBorder="1" applyAlignment="1">
      <alignment horizontal="center" vertical="center"/>
    </xf>
    <xf numFmtId="0" fontId="10" fillId="5" borderId="7" xfId="0" applyFont="1" applyFill="1" applyBorder="1" applyAlignment="1">
      <alignment horizontal="center" vertical="center"/>
    </xf>
    <xf numFmtId="0" fontId="0" fillId="7" borderId="2" xfId="0" applyFill="1" applyBorder="1" applyAlignment="1" applyProtection="1">
      <alignment horizontal="center"/>
      <protection locked="0"/>
    </xf>
    <xf numFmtId="0" fontId="0" fillId="7" borderId="2" xfId="0" applyFill="1" applyBorder="1" applyProtection="1">
      <protection locked="0"/>
    </xf>
    <xf numFmtId="0" fontId="0" fillId="4" borderId="2" xfId="0" applyFill="1" applyBorder="1" applyAlignment="1" applyProtection="1">
      <alignment horizontal="center"/>
      <protection locked="0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99CCFF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719627737685947"/>
          <c:y val="0.19194312796208537"/>
          <c:w val="0.78691660604976454"/>
          <c:h val="0.63270142180094791"/>
        </c:manualLayout>
      </c:layout>
      <c:scatterChart>
        <c:scatterStyle val="smoothMarker"/>
        <c:varyColors val="0"/>
        <c:ser>
          <c:idx val="0"/>
          <c:order val="0"/>
          <c:spPr>
            <a:ln w="38100">
              <a:solidFill>
                <a:srgbClr val="000080"/>
              </a:solidFill>
              <a:prstDash val="solid"/>
            </a:ln>
          </c:spPr>
          <c:marker>
            <c:symbol val="none"/>
          </c:marker>
          <c:dPt>
            <c:idx val="22"/>
            <c:marker>
              <c:symbol val="diamond"/>
              <c:size val="7"/>
              <c:spPr>
                <a:solidFill>
                  <a:srgbClr val="FFFF00"/>
                </a:solidFill>
                <a:ln>
                  <a:solidFill>
                    <a:srgbClr val="000080"/>
                  </a:solidFill>
                  <a:prstDash val="solid"/>
                </a:ln>
              </c:spPr>
            </c:marker>
            <c:bubble3D val="0"/>
          </c:dPt>
          <c:dPt>
            <c:idx val="25"/>
            <c:marker>
              <c:symbol val="diamond"/>
              <c:size val="3"/>
              <c:spPr>
                <a:noFill/>
                <a:ln w="9525">
                  <a:noFill/>
                </a:ln>
              </c:spPr>
            </c:marker>
            <c:bubble3D val="0"/>
          </c:dPt>
          <c:dLbls>
            <c:dLbl>
              <c:idx val="22"/>
              <c:layout>
                <c:manualLayout>
                  <c:x val="-0.21992533176343612"/>
                  <c:y val="-1.9652199873120127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975" b="0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Analysis!$C$12:$C$61</c:f>
              <c:numCache>
                <c:formatCode>General</c:formatCode>
                <c:ptCount val="5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</c:numCache>
            </c:numRef>
          </c:xVal>
          <c:yVal>
            <c:numRef>
              <c:f>Analysis!$D$12:$D$61</c:f>
              <c:numCache>
                <c:formatCode>0.00%</c:formatCode>
                <c:ptCount val="5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0.06</c:v>
                </c:pt>
                <c:pt idx="5">
                  <c:v>0.06</c:v>
                </c:pt>
                <c:pt idx="6">
                  <c:v>0.04</c:v>
                </c:pt>
                <c:pt idx="7">
                  <c:v>7.0000000000000007E-2</c:v>
                </c:pt>
                <c:pt idx="8">
                  <c:v>0.06</c:v>
                </c:pt>
                <c:pt idx="9">
                  <c:v>0.06</c:v>
                </c:pt>
                <c:pt idx="10">
                  <c:v>0.12</c:v>
                </c:pt>
                <c:pt idx="11">
                  <c:v>0.17</c:v>
                </c:pt>
                <c:pt idx="12">
                  <c:v>0.2</c:v>
                </c:pt>
                <c:pt idx="13">
                  <c:v>0.24</c:v>
                </c:pt>
                <c:pt idx="14">
                  <c:v>0.21</c:v>
                </c:pt>
                <c:pt idx="15">
                  <c:v>0.33</c:v>
                </c:pt>
                <c:pt idx="16">
                  <c:v>0.31</c:v>
                </c:pt>
                <c:pt idx="17">
                  <c:v>0.4</c:v>
                </c:pt>
                <c:pt idx="18">
                  <c:v>0.35</c:v>
                </c:pt>
                <c:pt idx="19">
                  <c:v>0.41</c:v>
                </c:pt>
                <c:pt idx="20">
                  <c:v>0.45</c:v>
                </c:pt>
                <c:pt idx="21">
                  <c:v>0.56000000000000005</c:v>
                </c:pt>
                <c:pt idx="22">
                  <c:v>0.51</c:v>
                </c:pt>
                <c:pt idx="23">
                  <c:v>0.5</c:v>
                </c:pt>
                <c:pt idx="24">
                  <c:v>0.6</c:v>
                </c:pt>
                <c:pt idx="25">
                  <c:v>0.67</c:v>
                </c:pt>
                <c:pt idx="26">
                  <c:v>0.64</c:v>
                </c:pt>
                <c:pt idx="27">
                  <c:v>0.6</c:v>
                </c:pt>
                <c:pt idx="28">
                  <c:v>0.65</c:v>
                </c:pt>
                <c:pt idx="29">
                  <c:v>0.71</c:v>
                </c:pt>
                <c:pt idx="30">
                  <c:v>0.68</c:v>
                </c:pt>
                <c:pt idx="31">
                  <c:v>0.69</c:v>
                </c:pt>
                <c:pt idx="32">
                  <c:v>0.82</c:v>
                </c:pt>
                <c:pt idx="33">
                  <c:v>0.72</c:v>
                </c:pt>
                <c:pt idx="34">
                  <c:v>0.81</c:v>
                </c:pt>
                <c:pt idx="35">
                  <c:v>0.85</c:v>
                </c:pt>
                <c:pt idx="36">
                  <c:v>0.89</c:v>
                </c:pt>
                <c:pt idx="37">
                  <c:v>0.86</c:v>
                </c:pt>
                <c:pt idx="38">
                  <c:v>0.88</c:v>
                </c:pt>
                <c:pt idx="39">
                  <c:v>0.9</c:v>
                </c:pt>
                <c:pt idx="40">
                  <c:v>0.91</c:v>
                </c:pt>
                <c:pt idx="41">
                  <c:v>0.91</c:v>
                </c:pt>
                <c:pt idx="42">
                  <c:v>0.96</c:v>
                </c:pt>
                <c:pt idx="43">
                  <c:v>0.97</c:v>
                </c:pt>
                <c:pt idx="44">
                  <c:v>0.97</c:v>
                </c:pt>
                <c:pt idx="45">
                  <c:v>0.96</c:v>
                </c:pt>
                <c:pt idx="46">
                  <c:v>0.97</c:v>
                </c:pt>
                <c:pt idx="47">
                  <c:v>0.97</c:v>
                </c:pt>
                <c:pt idx="48">
                  <c:v>0.98</c:v>
                </c:pt>
                <c:pt idx="49">
                  <c:v>0.98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3655808"/>
        <c:axId val="184313344"/>
      </c:scatterChart>
      <c:valAx>
        <c:axId val="183655808"/>
        <c:scaling>
          <c:orientation val="minMax"/>
          <c:max val="50"/>
        </c:scaling>
        <c:delete val="0"/>
        <c:axPos val="b"/>
        <c:title>
          <c:tx>
            <c:rich>
              <a:bodyPr/>
              <a:lstStyle/>
              <a:p>
                <a:pPr>
                  <a:defRPr sz="97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Number of Students in a Class</a:t>
                </a:r>
              </a:p>
            </c:rich>
          </c:tx>
          <c:layout>
            <c:manualLayout>
              <c:xMode val="edge"/>
              <c:yMode val="edge"/>
              <c:x val="0.29283528344003729"/>
              <c:y val="0.89099526066350709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84313344"/>
        <c:crosses val="autoZero"/>
        <c:crossBetween val="midCat"/>
      </c:valAx>
      <c:valAx>
        <c:axId val="184313344"/>
        <c:scaling>
          <c:orientation val="minMax"/>
          <c:max val="1"/>
          <c:min val="0"/>
        </c:scaling>
        <c:delete val="0"/>
        <c:axPos val="l"/>
        <c:numFmt formatCode="0.0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83655808"/>
        <c:crosses val="autoZero"/>
        <c:crossBetween val="midCat"/>
      </c:valAx>
      <c:spPr>
        <a:gradFill rotWithShape="0">
          <a:gsLst>
            <a:gs pos="0">
              <a:srgbClr val="99CCFF"/>
            </a:gs>
            <a:gs pos="50000">
              <a:srgbClr val="FFFF99"/>
            </a:gs>
            <a:gs pos="100000">
              <a:srgbClr val="99CCFF"/>
            </a:gs>
          </a:gsLst>
          <a:lin ang="2700000" scaled="1"/>
        </a:gradFill>
        <a:ln w="381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22" r="0.75000000000000022" t="1" header="0.5" footer="0.5"/>
    <c:pageSetup/>
  </c:printSettings>
  <c:userShapes r:id="rId1"/>
</c:chartSpace>
</file>

<file path=xl/ctrlProps/ctrlProp1.xml><?xml version="1.0" encoding="utf-8"?>
<formControlPr xmlns="http://schemas.microsoft.com/office/spreadsheetml/2009/9/main" objectType="GBox"/>
</file>

<file path=xl/ctrlProps/ctrlProp2.xml><?xml version="1.0" encoding="utf-8"?>
<formControlPr xmlns="http://schemas.microsoft.com/office/spreadsheetml/2009/9/main" objectType="GBox"/>
</file>

<file path=xl/ctrlProps/ctrlProp3.xml><?xml version="1.0" encoding="utf-8"?>
<formControlPr xmlns="http://schemas.microsoft.com/office/spreadsheetml/2009/9/main" objectType="GBox"/>
</file>

<file path=xl/ctrlProps/ctrlProp4.xml><?xml version="1.0" encoding="utf-8"?>
<formControlPr xmlns="http://schemas.microsoft.com/office/spreadsheetml/2009/9/main" objectType="Label" lockText="1"/>
</file>

<file path=xl/ctrlProps/ctrlProp5.xml><?xml version="1.0" encoding="utf-8"?>
<formControlPr xmlns="http://schemas.microsoft.com/office/spreadsheetml/2009/9/main" objectType="GBox"/>
</file>

<file path=xl/ctrlProps/ctrlProp6.xml><?xml version="1.0" encoding="utf-8"?>
<formControlPr xmlns="http://schemas.microsoft.com/office/spreadsheetml/2009/9/main" objectType="Label" lockText="1"/>
</file>

<file path=xl/ctrlProps/ctrlProp7.xml><?xml version="1.0" encoding="utf-8"?>
<formControlPr xmlns="http://schemas.microsoft.com/office/spreadsheetml/2009/9/main" objectType="Label" lockText="1"/>
</file>

<file path=xl/ctrlProps/ctrlProp8.xml><?xml version="1.0" encoding="utf-8"?>
<formControlPr xmlns="http://schemas.microsoft.com/office/spreadsheetml/2009/9/main" objectType="Label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1.jpe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.xml"/><Relationship Id="rId1" Type="http://schemas.openxmlformats.org/officeDocument/2006/relationships/image" Target="../media/image1.jpe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1.jpeg"/><Relationship Id="rId1" Type="http://schemas.openxmlformats.org/officeDocument/2006/relationships/image" Target="../media/image6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400050</xdr:colOff>
      <xdr:row>6</xdr:row>
      <xdr:rowOff>38100</xdr:rowOff>
    </xdr:from>
    <xdr:to>
      <xdr:col>13</xdr:col>
      <xdr:colOff>476250</xdr:colOff>
      <xdr:row>20</xdr:row>
      <xdr:rowOff>95250</xdr:rowOff>
    </xdr:to>
    <xdr:pic>
      <xdr:nvPicPr>
        <xdr:cNvPr id="20489" name="Picture 9" descr="happy-birthday-balloons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67250" y="1009650"/>
          <a:ext cx="3733800" cy="2324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190500</xdr:colOff>
      <xdr:row>2</xdr:row>
      <xdr:rowOff>38100</xdr:rowOff>
    </xdr:from>
    <xdr:to>
      <xdr:col>6</xdr:col>
      <xdr:colOff>276225</xdr:colOff>
      <xdr:row>5</xdr:row>
      <xdr:rowOff>57150</xdr:rowOff>
    </xdr:to>
    <xdr:sp macro="" textlink="">
      <xdr:nvSpPr>
        <xdr:cNvPr id="20481" name="Text Box 1"/>
        <xdr:cNvSpPr txBox="1">
          <a:spLocks noChangeArrowheads="1"/>
        </xdr:cNvSpPr>
      </xdr:nvSpPr>
      <xdr:spPr bwMode="auto">
        <a:xfrm>
          <a:off x="800100" y="361950"/>
          <a:ext cx="3133725" cy="50482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45720" tIns="36576" rIns="45720" bIns="36576" anchor="ctr" upright="1"/>
        <a:lstStyle/>
        <a:p>
          <a:pPr algn="ctr" rtl="0">
            <a:defRPr sz="1000"/>
          </a:pPr>
          <a:r>
            <a:rPr lang="en-US" sz="2000" b="1" i="1" u="none" strike="noStrike" baseline="0">
              <a:solidFill>
                <a:srgbClr val="000000"/>
              </a:solidFill>
              <a:latin typeface="Arial"/>
              <a:cs typeface="Arial"/>
            </a:rPr>
            <a:t>Birthday Simulation</a:t>
          </a:r>
        </a:p>
      </xdr:txBody>
    </xdr:sp>
    <xdr:clientData/>
  </xdr:twoCellAnchor>
  <xdr:twoCellAnchor>
    <xdr:from>
      <xdr:col>2</xdr:col>
      <xdr:colOff>542925</xdr:colOff>
      <xdr:row>23</xdr:row>
      <xdr:rowOff>66675</xdr:rowOff>
    </xdr:from>
    <xdr:to>
      <xdr:col>4</xdr:col>
      <xdr:colOff>400050</xdr:colOff>
      <xdr:row>25</xdr:row>
      <xdr:rowOff>95250</xdr:rowOff>
    </xdr:to>
    <xdr:grpSp>
      <xdr:nvGrpSpPr>
        <xdr:cNvPr id="20483" name="Group 3"/>
        <xdr:cNvGrpSpPr>
          <a:grpSpLocks/>
        </xdr:cNvGrpSpPr>
      </xdr:nvGrpSpPr>
      <xdr:grpSpPr bwMode="auto">
        <a:xfrm>
          <a:off x="1762125" y="3790950"/>
          <a:ext cx="1076325" cy="352425"/>
          <a:chOff x="267" y="580"/>
          <a:chExt cx="113" cy="37"/>
        </a:xfrm>
      </xdr:grpSpPr>
      <xdr:sp macro="[0]!Module1.MAIN" textlink="">
        <xdr:nvSpPr>
          <xdr:cNvPr id="20484" name="AutoShape 4"/>
          <xdr:cNvSpPr>
            <a:spLocks noChangeArrowheads="1"/>
          </xdr:cNvSpPr>
        </xdr:nvSpPr>
        <xdr:spPr bwMode="auto">
          <a:xfrm>
            <a:off x="267" y="580"/>
            <a:ext cx="113" cy="37"/>
          </a:xfrm>
          <a:prstGeom prst="bevel">
            <a:avLst>
              <a:gd name="adj" fmla="val 12500"/>
            </a:avLst>
          </a:prstGeom>
          <a:gradFill rotWithShape="1">
            <a:gsLst>
              <a:gs pos="0">
                <a:srgbClr val="C0C0C0"/>
              </a:gs>
              <a:gs pos="100000">
                <a:srgbClr val="D1D1D1">
                  <a:gamma/>
                  <a:tint val="73725"/>
                  <a:invGamma/>
                </a:srgbClr>
              </a:gs>
            </a:gsLst>
            <a:lin ang="5400000" scaled="1"/>
          </a:gradFill>
          <a:ln w="9525">
            <a:solidFill>
              <a:srgbClr val="808080"/>
            </a:solidFill>
            <a:miter lim="800000"/>
            <a:headEnd/>
            <a:tailEnd/>
          </a:ln>
        </xdr:spPr>
      </xdr:sp>
      <xdr:sp macro="[0]!Module1.MAIN" textlink="">
        <xdr:nvSpPr>
          <xdr:cNvPr id="20485" name="Text Box 5"/>
          <xdr:cNvSpPr txBox="1">
            <a:spLocks noChangeArrowheads="1"/>
          </xdr:cNvSpPr>
        </xdr:nvSpPr>
        <xdr:spPr bwMode="auto">
          <a:xfrm>
            <a:off x="273" y="586"/>
            <a:ext cx="99" cy="25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65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en-US" sz="10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Start</a:t>
            </a:r>
          </a:p>
        </xdr:txBody>
      </xdr:sp>
    </xdr:grpSp>
    <xdr:clientData/>
  </xdr:twoCellAnchor>
  <xdr:twoCellAnchor>
    <xdr:from>
      <xdr:col>0</xdr:col>
      <xdr:colOff>342900</xdr:colOff>
      <xdr:row>6</xdr:row>
      <xdr:rowOff>9525</xdr:rowOff>
    </xdr:from>
    <xdr:to>
      <xdr:col>7</xdr:col>
      <xdr:colOff>95250</xdr:colOff>
      <xdr:row>21</xdr:row>
      <xdr:rowOff>114300</xdr:rowOff>
    </xdr:to>
    <xdr:sp macro="" textlink="">
      <xdr:nvSpPr>
        <xdr:cNvPr id="20490" name="Text Box 10"/>
        <xdr:cNvSpPr txBox="1">
          <a:spLocks noChangeArrowheads="1"/>
        </xdr:cNvSpPr>
      </xdr:nvSpPr>
      <xdr:spPr bwMode="auto">
        <a:xfrm>
          <a:off x="342900" y="981075"/>
          <a:ext cx="4019550" cy="25336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endParaRPr lang="en-US" sz="1000" b="1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r>
            <a:rPr lang="en-US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An interesting question in probability theory is:</a:t>
          </a:r>
        </a:p>
        <a:p>
          <a:pPr algn="l" rtl="0">
            <a:defRPr sz="1000"/>
          </a:pPr>
          <a:r>
            <a:rPr lang="en-US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"What is the probability that at least two students in a class of 30 have the same birthday?" The answer to this question is somewhat counter-intuitive and most students make wrong guesses. We will attempt to answer this question using simulation. We give the user of this application several choices to perform the simulation:</a:t>
          </a:r>
        </a:p>
        <a:p>
          <a:pPr algn="l" rtl="0">
            <a:defRPr sz="1000"/>
          </a:pPr>
          <a:endParaRPr lang="en-US" sz="1000" b="1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r>
            <a:rPr lang="en-US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1. The user can enter the birthdays individually for each student   in the class.</a:t>
          </a:r>
        </a:p>
        <a:p>
          <a:pPr algn="l" rtl="0">
            <a:defRPr sz="1000"/>
          </a:pPr>
          <a:r>
            <a:rPr lang="en-US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2. The user can generate random birthdays.</a:t>
          </a:r>
        </a:p>
        <a:p>
          <a:pPr algn="l" rtl="0">
            <a:defRPr sz="1000"/>
          </a:pPr>
          <a:r>
            <a:rPr lang="en-US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3. The user can simulate several runs of a random birthday generation until a match is found. In this case, an Analysis Report is generated giving the probability  of a match versus the number of students in the class.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314325</xdr:colOff>
      <xdr:row>13</xdr:row>
      <xdr:rowOff>66675</xdr:rowOff>
    </xdr:from>
    <xdr:to>
      <xdr:col>19</xdr:col>
      <xdr:colOff>257175</xdr:colOff>
      <xdr:row>16</xdr:row>
      <xdr:rowOff>19050</xdr:rowOff>
    </xdr:to>
    <xdr:grpSp>
      <xdr:nvGrpSpPr>
        <xdr:cNvPr id="11047" name="Group 6951"/>
        <xdr:cNvGrpSpPr>
          <a:grpSpLocks/>
        </xdr:cNvGrpSpPr>
      </xdr:nvGrpSpPr>
      <xdr:grpSpPr bwMode="auto">
        <a:xfrm>
          <a:off x="7953375" y="1714500"/>
          <a:ext cx="914400" cy="323850"/>
          <a:chOff x="267" y="580"/>
          <a:chExt cx="113" cy="37"/>
        </a:xfrm>
      </xdr:grpSpPr>
      <xdr:sp macro="[0]!ClearPrevious" textlink="">
        <xdr:nvSpPr>
          <xdr:cNvPr id="11048" name="AutoShape 6952"/>
          <xdr:cNvSpPr>
            <a:spLocks noChangeArrowheads="1"/>
          </xdr:cNvSpPr>
        </xdr:nvSpPr>
        <xdr:spPr bwMode="auto">
          <a:xfrm>
            <a:off x="267" y="580"/>
            <a:ext cx="113" cy="37"/>
          </a:xfrm>
          <a:prstGeom prst="bevel">
            <a:avLst>
              <a:gd name="adj" fmla="val 12500"/>
            </a:avLst>
          </a:prstGeom>
          <a:gradFill rotWithShape="1">
            <a:gsLst>
              <a:gs pos="0">
                <a:srgbClr val="C0C0C0"/>
              </a:gs>
              <a:gs pos="100000">
                <a:srgbClr val="D1D1D1">
                  <a:gamma/>
                  <a:tint val="73725"/>
                  <a:invGamma/>
                </a:srgbClr>
              </a:gs>
            </a:gsLst>
            <a:lin ang="5400000" scaled="1"/>
          </a:gradFill>
          <a:ln w="9525">
            <a:solidFill>
              <a:srgbClr val="808080"/>
            </a:solidFill>
            <a:miter lim="800000"/>
            <a:headEnd/>
            <a:tailEnd/>
          </a:ln>
        </xdr:spPr>
      </xdr:sp>
      <xdr:sp macro="[0]!ClearPrevious" textlink="">
        <xdr:nvSpPr>
          <xdr:cNvPr id="11049" name="Text Box 6953"/>
          <xdr:cNvSpPr txBox="1">
            <a:spLocks noChangeArrowheads="1"/>
          </xdr:cNvSpPr>
        </xdr:nvSpPr>
        <xdr:spPr bwMode="auto">
          <a:xfrm>
            <a:off x="273" y="587"/>
            <a:ext cx="99" cy="25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65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en-US" sz="10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Start Over</a:t>
            </a:r>
          </a:p>
        </xdr:txBody>
      </xdr:sp>
    </xdr:grpSp>
    <xdr:clientData/>
  </xdr:twoCellAnchor>
  <xdr:twoCellAnchor>
    <xdr:from>
      <xdr:col>1</xdr:col>
      <xdr:colOff>333375</xdr:colOff>
      <xdr:row>17</xdr:row>
      <xdr:rowOff>19050</xdr:rowOff>
    </xdr:from>
    <xdr:to>
      <xdr:col>3</xdr:col>
      <xdr:colOff>400050</xdr:colOff>
      <xdr:row>19</xdr:row>
      <xdr:rowOff>38100</xdr:rowOff>
    </xdr:to>
    <xdr:grpSp>
      <xdr:nvGrpSpPr>
        <xdr:cNvPr id="11050" name="Group 6954"/>
        <xdr:cNvGrpSpPr>
          <a:grpSpLocks/>
        </xdr:cNvGrpSpPr>
      </xdr:nvGrpSpPr>
      <xdr:grpSpPr bwMode="auto">
        <a:xfrm>
          <a:off x="647700" y="2162175"/>
          <a:ext cx="1076325" cy="266700"/>
          <a:chOff x="267" y="580"/>
          <a:chExt cx="113" cy="37"/>
        </a:xfrm>
      </xdr:grpSpPr>
      <xdr:sp macro="[0]!Module1.ManualBday" textlink="">
        <xdr:nvSpPr>
          <xdr:cNvPr id="11051" name="AutoShape 6955"/>
          <xdr:cNvSpPr>
            <a:spLocks noChangeArrowheads="1"/>
          </xdr:cNvSpPr>
        </xdr:nvSpPr>
        <xdr:spPr bwMode="auto">
          <a:xfrm>
            <a:off x="267" y="580"/>
            <a:ext cx="113" cy="37"/>
          </a:xfrm>
          <a:prstGeom prst="bevel">
            <a:avLst>
              <a:gd name="adj" fmla="val 12500"/>
            </a:avLst>
          </a:prstGeom>
          <a:gradFill rotWithShape="1">
            <a:gsLst>
              <a:gs pos="0">
                <a:srgbClr val="C0C0C0"/>
              </a:gs>
              <a:gs pos="100000">
                <a:srgbClr val="D1D1D1">
                  <a:gamma/>
                  <a:tint val="73725"/>
                  <a:invGamma/>
                </a:srgbClr>
              </a:gs>
            </a:gsLst>
            <a:lin ang="5400000" scaled="1"/>
          </a:gradFill>
          <a:ln w="9525">
            <a:solidFill>
              <a:srgbClr val="808080"/>
            </a:solidFill>
            <a:miter lim="800000"/>
            <a:headEnd/>
            <a:tailEnd/>
          </a:ln>
        </xdr:spPr>
      </xdr:sp>
      <xdr:sp macro="[0]!Module1.ManualBday" textlink="">
        <xdr:nvSpPr>
          <xdr:cNvPr id="11052" name="Text Box 6956"/>
          <xdr:cNvSpPr txBox="1">
            <a:spLocks noChangeArrowheads="1"/>
          </xdr:cNvSpPr>
        </xdr:nvSpPr>
        <xdr:spPr bwMode="auto">
          <a:xfrm>
            <a:off x="273" y="587"/>
            <a:ext cx="99" cy="25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65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en-US" sz="9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Enter Birthday</a:t>
            </a:r>
          </a:p>
        </xdr:txBody>
      </xdr:sp>
    </xdr:grpSp>
    <xdr:clientData/>
  </xdr:twoCellAnchor>
  <xdr:twoCellAnchor>
    <xdr:from>
      <xdr:col>1</xdr:col>
      <xdr:colOff>142875</xdr:colOff>
      <xdr:row>20</xdr:row>
      <xdr:rowOff>95249</xdr:rowOff>
    </xdr:from>
    <xdr:to>
      <xdr:col>4</xdr:col>
      <xdr:colOff>0</xdr:colOff>
      <xdr:row>27</xdr:row>
      <xdr:rowOff>95250</xdr:rowOff>
    </xdr:to>
    <xdr:grpSp>
      <xdr:nvGrpSpPr>
        <xdr:cNvPr id="11053" name="Group 6957"/>
        <xdr:cNvGrpSpPr>
          <a:grpSpLocks/>
        </xdr:cNvGrpSpPr>
      </xdr:nvGrpSpPr>
      <xdr:grpSpPr bwMode="auto">
        <a:xfrm>
          <a:off x="457200" y="2609849"/>
          <a:ext cx="1428750" cy="857251"/>
          <a:chOff x="267" y="562"/>
          <a:chExt cx="113" cy="69"/>
        </a:xfrm>
      </xdr:grpSpPr>
      <xdr:sp macro="[0]!Module1.RandBday" textlink="">
        <xdr:nvSpPr>
          <xdr:cNvPr id="11054" name="AutoShape 6958"/>
          <xdr:cNvSpPr>
            <a:spLocks noChangeArrowheads="1"/>
          </xdr:cNvSpPr>
        </xdr:nvSpPr>
        <xdr:spPr bwMode="auto">
          <a:xfrm>
            <a:off x="267" y="580"/>
            <a:ext cx="113" cy="37"/>
          </a:xfrm>
          <a:prstGeom prst="bevel">
            <a:avLst>
              <a:gd name="adj" fmla="val 12500"/>
            </a:avLst>
          </a:prstGeom>
          <a:gradFill rotWithShape="1">
            <a:gsLst>
              <a:gs pos="0">
                <a:srgbClr val="C0C0C0"/>
              </a:gs>
              <a:gs pos="100000">
                <a:srgbClr val="D1D1D1">
                  <a:gamma/>
                  <a:tint val="73725"/>
                  <a:invGamma/>
                </a:srgbClr>
              </a:gs>
            </a:gsLst>
            <a:lin ang="5400000" scaled="1"/>
          </a:gradFill>
          <a:ln w="9525">
            <a:solidFill>
              <a:srgbClr val="808080"/>
            </a:solidFill>
            <a:miter lim="800000"/>
            <a:headEnd/>
            <a:tailEnd/>
          </a:ln>
        </xdr:spPr>
      </xdr:sp>
      <xdr:sp macro="[0]!Module1.RandBday" textlink="">
        <xdr:nvSpPr>
          <xdr:cNvPr id="11055" name="Text Box 6959"/>
          <xdr:cNvSpPr txBox="1">
            <a:spLocks noChangeArrowheads="1"/>
          </xdr:cNvSpPr>
        </xdr:nvSpPr>
        <xdr:spPr bwMode="auto">
          <a:xfrm>
            <a:off x="282" y="562"/>
            <a:ext cx="90" cy="69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65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en-US" sz="9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Generate A Random Birthday</a:t>
            </a:r>
          </a:p>
        </xdr:txBody>
      </xdr:sp>
    </xdr:grpSp>
    <xdr:clientData/>
  </xdr:twoCellAnchor>
  <xdr:twoCellAnchor>
    <xdr:from>
      <xdr:col>1</xdr:col>
      <xdr:colOff>171452</xdr:colOff>
      <xdr:row>29</xdr:row>
      <xdr:rowOff>54316</xdr:rowOff>
    </xdr:from>
    <xdr:to>
      <xdr:col>3</xdr:col>
      <xdr:colOff>542926</xdr:colOff>
      <xdr:row>33</xdr:row>
      <xdr:rowOff>85725</xdr:rowOff>
    </xdr:to>
    <xdr:grpSp>
      <xdr:nvGrpSpPr>
        <xdr:cNvPr id="11056" name="Group 6960"/>
        <xdr:cNvGrpSpPr>
          <a:grpSpLocks/>
        </xdr:cNvGrpSpPr>
      </xdr:nvGrpSpPr>
      <xdr:grpSpPr bwMode="auto">
        <a:xfrm>
          <a:off x="485777" y="3673816"/>
          <a:ext cx="1381124" cy="526709"/>
          <a:chOff x="267" y="580"/>
          <a:chExt cx="113" cy="38"/>
        </a:xfrm>
      </xdr:grpSpPr>
      <xdr:sp macro="[0]!Module1.MultRandBday" textlink="">
        <xdr:nvSpPr>
          <xdr:cNvPr id="11057" name="AutoShape 6961"/>
          <xdr:cNvSpPr>
            <a:spLocks noChangeArrowheads="1"/>
          </xdr:cNvSpPr>
        </xdr:nvSpPr>
        <xdr:spPr bwMode="auto">
          <a:xfrm>
            <a:off x="267" y="580"/>
            <a:ext cx="113" cy="37"/>
          </a:xfrm>
          <a:prstGeom prst="bevel">
            <a:avLst>
              <a:gd name="adj" fmla="val 12500"/>
            </a:avLst>
          </a:prstGeom>
          <a:gradFill rotWithShape="1">
            <a:gsLst>
              <a:gs pos="0">
                <a:srgbClr val="C0C0C0"/>
              </a:gs>
              <a:gs pos="100000">
                <a:srgbClr val="D1D1D1">
                  <a:gamma/>
                  <a:tint val="73725"/>
                  <a:invGamma/>
                </a:srgbClr>
              </a:gs>
            </a:gsLst>
            <a:lin ang="5400000" scaled="1"/>
          </a:gradFill>
          <a:ln w="9525">
            <a:solidFill>
              <a:srgbClr val="808080"/>
            </a:solidFill>
            <a:miter lim="800000"/>
            <a:headEnd/>
            <a:tailEnd/>
          </a:ln>
        </xdr:spPr>
      </xdr:sp>
      <xdr:sp macro="[0]!MultRandBday" textlink="">
        <xdr:nvSpPr>
          <xdr:cNvPr id="11058" name="Text Box 6962"/>
          <xdr:cNvSpPr txBox="1">
            <a:spLocks noChangeArrowheads="1"/>
          </xdr:cNvSpPr>
        </xdr:nvSpPr>
        <xdr:spPr bwMode="auto">
          <a:xfrm>
            <a:off x="272" y="581"/>
            <a:ext cx="99" cy="37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65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en-US" sz="9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Generate Random Birthdays</a:t>
            </a:r>
          </a:p>
        </xdr:txBody>
      </xdr:sp>
    </xdr:grpSp>
    <xdr:clientData/>
  </xdr:twoCellAnchor>
  <xdr:twoCellAnchor>
    <xdr:from>
      <xdr:col>1</xdr:col>
      <xdr:colOff>200025</xdr:colOff>
      <xdr:row>39</xdr:row>
      <xdr:rowOff>104775</xdr:rowOff>
    </xdr:from>
    <xdr:to>
      <xdr:col>4</xdr:col>
      <xdr:colOff>28575</xdr:colOff>
      <xdr:row>42</xdr:row>
      <xdr:rowOff>38100</xdr:rowOff>
    </xdr:to>
    <xdr:grpSp>
      <xdr:nvGrpSpPr>
        <xdr:cNvPr id="11059" name="Group 6963"/>
        <xdr:cNvGrpSpPr>
          <a:grpSpLocks/>
        </xdr:cNvGrpSpPr>
      </xdr:nvGrpSpPr>
      <xdr:grpSpPr bwMode="auto">
        <a:xfrm>
          <a:off x="514350" y="4962525"/>
          <a:ext cx="1400175" cy="304800"/>
          <a:chOff x="267" y="580"/>
          <a:chExt cx="113" cy="37"/>
        </a:xfrm>
      </xdr:grpSpPr>
      <xdr:sp macro="[0]!Module1.MultRuns" textlink="">
        <xdr:nvSpPr>
          <xdr:cNvPr id="11060" name="AutoShape 6964"/>
          <xdr:cNvSpPr>
            <a:spLocks noChangeArrowheads="1"/>
          </xdr:cNvSpPr>
        </xdr:nvSpPr>
        <xdr:spPr bwMode="auto">
          <a:xfrm>
            <a:off x="267" y="580"/>
            <a:ext cx="113" cy="37"/>
          </a:xfrm>
          <a:prstGeom prst="bevel">
            <a:avLst>
              <a:gd name="adj" fmla="val 12500"/>
            </a:avLst>
          </a:prstGeom>
          <a:gradFill rotWithShape="1">
            <a:gsLst>
              <a:gs pos="0">
                <a:srgbClr val="C0C0C0"/>
              </a:gs>
              <a:gs pos="100000">
                <a:srgbClr val="D1D1D1">
                  <a:gamma/>
                  <a:tint val="73725"/>
                  <a:invGamma/>
                </a:srgbClr>
              </a:gs>
            </a:gsLst>
            <a:lin ang="5400000" scaled="1"/>
          </a:gradFill>
          <a:ln w="9525">
            <a:solidFill>
              <a:srgbClr val="808080"/>
            </a:solidFill>
            <a:miter lim="800000"/>
            <a:headEnd/>
            <a:tailEnd/>
          </a:ln>
        </xdr:spPr>
      </xdr:sp>
      <xdr:sp macro="[0]!MultRuns" textlink="">
        <xdr:nvSpPr>
          <xdr:cNvPr id="11061" name="Text Box 6965"/>
          <xdr:cNvSpPr txBox="1">
            <a:spLocks noChangeArrowheads="1"/>
          </xdr:cNvSpPr>
        </xdr:nvSpPr>
        <xdr:spPr bwMode="auto">
          <a:xfrm>
            <a:off x="273" y="587"/>
            <a:ext cx="99" cy="25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65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en-US" sz="9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Start Simulation</a:t>
            </a:r>
          </a:p>
        </xdr:txBody>
      </xdr:sp>
    </xdr:grpSp>
    <xdr:clientData/>
  </xdr:twoCellAnchor>
  <xdr:twoCellAnchor>
    <xdr:from>
      <xdr:col>17</xdr:col>
      <xdr:colOff>142875</xdr:colOff>
      <xdr:row>17</xdr:row>
      <xdr:rowOff>0</xdr:rowOff>
    </xdr:from>
    <xdr:to>
      <xdr:col>21</xdr:col>
      <xdr:colOff>409575</xdr:colOff>
      <xdr:row>19</xdr:row>
      <xdr:rowOff>38100</xdr:rowOff>
    </xdr:to>
    <xdr:sp macro="" textlink="">
      <xdr:nvSpPr>
        <xdr:cNvPr id="11227" name="Text Box 7131"/>
        <xdr:cNvSpPr txBox="1">
          <a:spLocks noChangeArrowheads="1"/>
        </xdr:cNvSpPr>
      </xdr:nvSpPr>
      <xdr:spPr bwMode="auto">
        <a:xfrm>
          <a:off x="7781925" y="2143125"/>
          <a:ext cx="2333625" cy="285750"/>
        </a:xfrm>
        <a:prstGeom prst="rect">
          <a:avLst/>
        </a:prstGeom>
        <a:solidFill>
          <a:srgbClr val="FFFFFF"/>
        </a:solidFill>
        <a:ln w="38100" cmpd="dbl">
          <a:solidFill>
            <a:srgbClr val="C0C0C0"/>
          </a:solidFill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US" sz="900" b="1" i="0" u="none" strike="noStrike" baseline="0">
              <a:solidFill>
                <a:srgbClr val="000000"/>
              </a:solidFill>
              <a:latin typeface="Arial"/>
              <a:cs typeface="Arial"/>
            </a:rPr>
            <a:t>Number of  birthdays until match found</a:t>
          </a:r>
        </a:p>
      </xdr:txBody>
    </xdr:sp>
    <xdr:clientData/>
  </xdr:twoCellAnchor>
  <xdr:twoCellAnchor>
    <xdr:from>
      <xdr:col>17</xdr:col>
      <xdr:colOff>95251</xdr:colOff>
      <xdr:row>22</xdr:row>
      <xdr:rowOff>85725</xdr:rowOff>
    </xdr:from>
    <xdr:to>
      <xdr:col>19</xdr:col>
      <xdr:colOff>0</xdr:colOff>
      <xdr:row>26</xdr:row>
      <xdr:rowOff>0</xdr:rowOff>
    </xdr:to>
    <xdr:sp macro="" textlink="">
      <xdr:nvSpPr>
        <xdr:cNvPr id="13793" name="Text Box 9697"/>
        <xdr:cNvSpPr txBox="1">
          <a:spLocks noChangeArrowheads="1"/>
        </xdr:cNvSpPr>
      </xdr:nvSpPr>
      <xdr:spPr bwMode="auto">
        <a:xfrm>
          <a:off x="7734301" y="2847975"/>
          <a:ext cx="876299" cy="400050"/>
        </a:xfrm>
        <a:prstGeom prst="rect">
          <a:avLst/>
        </a:prstGeom>
        <a:solidFill>
          <a:srgbClr val="FFFFFF"/>
        </a:solidFill>
        <a:ln w="9525">
          <a:solidFill>
            <a:srgbClr val="969696"/>
          </a:solidFill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US" sz="900" b="1" i="0" u="none" strike="noStrike" baseline="0">
              <a:solidFill>
                <a:srgbClr val="000000"/>
              </a:solidFill>
              <a:latin typeface="Arial"/>
              <a:cs typeface="Arial"/>
            </a:rPr>
            <a:t>Nr. of students in a class</a:t>
          </a:r>
        </a:p>
      </xdr:txBody>
    </xdr:sp>
    <xdr:clientData/>
  </xdr:twoCellAnchor>
  <xdr:twoCellAnchor>
    <xdr:from>
      <xdr:col>19</xdr:col>
      <xdr:colOff>57148</xdr:colOff>
      <xdr:row>22</xdr:row>
      <xdr:rowOff>76198</xdr:rowOff>
    </xdr:from>
    <xdr:to>
      <xdr:col>21</xdr:col>
      <xdr:colOff>600074</xdr:colOff>
      <xdr:row>25</xdr:row>
      <xdr:rowOff>114300</xdr:rowOff>
    </xdr:to>
    <xdr:sp macro="" textlink="">
      <xdr:nvSpPr>
        <xdr:cNvPr id="13794" name="Text Box 9698"/>
        <xdr:cNvSpPr txBox="1">
          <a:spLocks noChangeArrowheads="1"/>
        </xdr:cNvSpPr>
      </xdr:nvSpPr>
      <xdr:spPr bwMode="auto">
        <a:xfrm>
          <a:off x="8667748" y="2838448"/>
          <a:ext cx="1638301" cy="400052"/>
        </a:xfrm>
        <a:prstGeom prst="rect">
          <a:avLst/>
        </a:prstGeom>
        <a:solidFill>
          <a:srgbClr val="FFFFFF"/>
        </a:solidFill>
        <a:ln w="9525">
          <a:solidFill>
            <a:srgbClr val="969696"/>
          </a:solidFill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US" sz="900" b="1" i="0" u="none" strike="noStrike" baseline="0">
              <a:solidFill>
                <a:srgbClr val="000000"/>
              </a:solidFill>
              <a:latin typeface="Arial"/>
              <a:cs typeface="Arial"/>
            </a:rPr>
            <a:t>Prob. that at least 2 students have the same birthday</a:t>
          </a:r>
        </a:p>
      </xdr:txBody>
    </xdr:sp>
    <xdr:clientData/>
  </xdr:twoCellAnchor>
  <xdr:twoCellAnchor>
    <xdr:from>
      <xdr:col>19</xdr:col>
      <xdr:colOff>304800</xdr:colOff>
      <xdr:row>13</xdr:row>
      <xdr:rowOff>66675</xdr:rowOff>
    </xdr:from>
    <xdr:to>
      <xdr:col>21</xdr:col>
      <xdr:colOff>142875</xdr:colOff>
      <xdr:row>16</xdr:row>
      <xdr:rowOff>19050</xdr:rowOff>
    </xdr:to>
    <xdr:grpSp>
      <xdr:nvGrpSpPr>
        <xdr:cNvPr id="14480" name="Group 10384"/>
        <xdr:cNvGrpSpPr>
          <a:grpSpLocks/>
        </xdr:cNvGrpSpPr>
      </xdr:nvGrpSpPr>
      <xdr:grpSpPr bwMode="auto">
        <a:xfrm>
          <a:off x="8915400" y="1714500"/>
          <a:ext cx="933450" cy="323850"/>
          <a:chOff x="267" y="580"/>
          <a:chExt cx="113" cy="37"/>
        </a:xfrm>
      </xdr:grpSpPr>
      <xdr:sp macro="[0]!ExitProg" textlink="">
        <xdr:nvSpPr>
          <xdr:cNvPr id="14481" name="AutoShape 10385"/>
          <xdr:cNvSpPr>
            <a:spLocks noChangeArrowheads="1"/>
          </xdr:cNvSpPr>
        </xdr:nvSpPr>
        <xdr:spPr bwMode="auto">
          <a:xfrm>
            <a:off x="267" y="580"/>
            <a:ext cx="113" cy="37"/>
          </a:xfrm>
          <a:prstGeom prst="bevel">
            <a:avLst>
              <a:gd name="adj" fmla="val 12500"/>
            </a:avLst>
          </a:prstGeom>
          <a:gradFill rotWithShape="1">
            <a:gsLst>
              <a:gs pos="0">
                <a:srgbClr val="C0C0C0"/>
              </a:gs>
              <a:gs pos="100000">
                <a:srgbClr val="D1D1D1">
                  <a:gamma/>
                  <a:tint val="73725"/>
                  <a:invGamma/>
                </a:srgbClr>
              </a:gs>
            </a:gsLst>
            <a:lin ang="5400000" scaled="1"/>
          </a:gradFill>
          <a:ln w="9525">
            <a:solidFill>
              <a:srgbClr val="808080"/>
            </a:solidFill>
            <a:miter lim="800000"/>
            <a:headEnd/>
            <a:tailEnd/>
          </a:ln>
        </xdr:spPr>
      </xdr:sp>
      <xdr:sp macro="[0]!ExitProg" textlink="">
        <xdr:nvSpPr>
          <xdr:cNvPr id="14482" name="Text Box 10386"/>
          <xdr:cNvSpPr txBox="1">
            <a:spLocks noChangeArrowheads="1"/>
          </xdr:cNvSpPr>
        </xdr:nvSpPr>
        <xdr:spPr bwMode="auto">
          <a:xfrm>
            <a:off x="273" y="587"/>
            <a:ext cx="99" cy="25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65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en-US" sz="10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Exit</a:t>
            </a:r>
          </a:p>
        </xdr:txBody>
      </xdr:sp>
    </xdr:grpSp>
    <xdr:clientData/>
  </xdr:twoCellAnchor>
  <xdr:twoCellAnchor>
    <xdr:from>
      <xdr:col>1</xdr:col>
      <xdr:colOff>161925</xdr:colOff>
      <xdr:row>43</xdr:row>
      <xdr:rowOff>38100</xdr:rowOff>
    </xdr:from>
    <xdr:to>
      <xdr:col>3</xdr:col>
      <xdr:colOff>552450</xdr:colOff>
      <xdr:row>45</xdr:row>
      <xdr:rowOff>57150</xdr:rowOff>
    </xdr:to>
    <xdr:grpSp>
      <xdr:nvGrpSpPr>
        <xdr:cNvPr id="14827" name="ViewButton"/>
        <xdr:cNvGrpSpPr>
          <a:grpSpLocks/>
        </xdr:cNvGrpSpPr>
      </xdr:nvGrpSpPr>
      <xdr:grpSpPr bwMode="auto">
        <a:xfrm>
          <a:off x="476250" y="5391150"/>
          <a:ext cx="1400175" cy="304800"/>
          <a:chOff x="267" y="580"/>
          <a:chExt cx="113" cy="37"/>
        </a:xfrm>
      </xdr:grpSpPr>
      <xdr:sp macro="[0]!ViewAnalysis" textlink="">
        <xdr:nvSpPr>
          <xdr:cNvPr id="14828" name="ViewButton"/>
          <xdr:cNvSpPr>
            <a:spLocks noChangeArrowheads="1"/>
          </xdr:cNvSpPr>
        </xdr:nvSpPr>
        <xdr:spPr bwMode="auto">
          <a:xfrm>
            <a:off x="267" y="580"/>
            <a:ext cx="113" cy="37"/>
          </a:xfrm>
          <a:prstGeom prst="bevel">
            <a:avLst>
              <a:gd name="adj" fmla="val 12500"/>
            </a:avLst>
          </a:prstGeom>
          <a:gradFill rotWithShape="1">
            <a:gsLst>
              <a:gs pos="0">
                <a:srgbClr val="C0C0C0"/>
              </a:gs>
              <a:gs pos="100000">
                <a:srgbClr val="D1D1D1">
                  <a:gamma/>
                  <a:tint val="73725"/>
                  <a:invGamma/>
                </a:srgbClr>
              </a:gs>
            </a:gsLst>
            <a:lin ang="5400000" scaled="1"/>
          </a:gradFill>
          <a:ln w="9525">
            <a:solidFill>
              <a:srgbClr val="808080"/>
            </a:solidFill>
            <a:miter lim="800000"/>
            <a:headEnd/>
            <a:tailEnd/>
          </a:ln>
        </xdr:spPr>
      </xdr:sp>
      <xdr:sp macro="[0]!ViewAnalysis" textlink="">
        <xdr:nvSpPr>
          <xdr:cNvPr id="14829" name="Text Box 10733"/>
          <xdr:cNvSpPr txBox="1">
            <a:spLocks noChangeArrowheads="1"/>
          </xdr:cNvSpPr>
        </xdr:nvSpPr>
        <xdr:spPr bwMode="auto">
          <a:xfrm>
            <a:off x="275" y="586"/>
            <a:ext cx="99" cy="25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65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en-US" sz="9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View Analysis</a:t>
            </a:r>
          </a:p>
        </xdr:txBody>
      </xdr:sp>
    </xdr:grpSp>
    <xdr:clientData/>
  </xdr:twoCellAnchor>
  <xdr:twoCellAnchor editAs="oneCell">
    <xdr:from>
      <xdr:col>18</xdr:col>
      <xdr:colOff>19050</xdr:colOff>
      <xdr:row>0</xdr:row>
      <xdr:rowOff>104775</xdr:rowOff>
    </xdr:from>
    <xdr:to>
      <xdr:col>20</xdr:col>
      <xdr:colOff>57150</xdr:colOff>
      <xdr:row>8</xdr:row>
      <xdr:rowOff>28575</xdr:rowOff>
    </xdr:to>
    <xdr:pic>
      <xdr:nvPicPr>
        <xdr:cNvPr id="20260" name="Picture 15140" descr="happy-birthday-balloons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lum bright="20000"/>
          <a:extLst>
            <a:ext uri="{28A0092B-C50C-407E-A947-70E740481C1C}">
              <a14:useLocalDpi xmlns:a14="http://schemas.microsoft.com/office/drawing/2010/main" val="0"/>
            </a:ext>
          </a:extLst>
        </a:blip>
        <a:srcRect l="13333" t="20583" r="52737" b="26721"/>
        <a:stretch>
          <a:fillRect/>
        </a:stretch>
      </xdr:blipFill>
      <xdr:spPr bwMode="auto">
        <a:xfrm>
          <a:off x="8105775" y="104775"/>
          <a:ext cx="1047750" cy="11239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0</xdr:col>
      <xdr:colOff>114300</xdr:colOff>
      <xdr:row>0</xdr:row>
      <xdr:rowOff>133351</xdr:rowOff>
    </xdr:from>
    <xdr:to>
      <xdr:col>17</xdr:col>
      <xdr:colOff>419100</xdr:colOff>
      <xdr:row>8</xdr:row>
      <xdr:rowOff>28575</xdr:rowOff>
    </xdr:to>
    <xdr:sp macro="" textlink="">
      <xdr:nvSpPr>
        <xdr:cNvPr id="22808" name="Text Box 16664"/>
        <xdr:cNvSpPr txBox="1">
          <a:spLocks noChangeArrowheads="1"/>
        </xdr:cNvSpPr>
      </xdr:nvSpPr>
      <xdr:spPr bwMode="auto">
        <a:xfrm>
          <a:off x="114300" y="133351"/>
          <a:ext cx="7943850" cy="1095374"/>
        </a:xfrm>
        <a:prstGeom prst="rect">
          <a:avLst/>
        </a:prstGeom>
        <a:solidFill>
          <a:srgbClr val="FFFFFF"/>
        </a:solidFill>
        <a:ln w="9525">
          <a:solidFill>
            <a:srgbClr val="969696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lnSpc>
              <a:spcPts val="1100"/>
            </a:lnSpc>
            <a:defRPr sz="1000"/>
          </a:pPr>
          <a:r>
            <a:rPr lang="en-US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How many birthdays need to be generated until two are the same?</a:t>
          </a:r>
          <a:endParaRPr lang="en-US" sz="400" b="1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endParaRPr lang="en-US" sz="400" b="1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lnSpc>
              <a:spcPts val="1100"/>
            </a:lnSpc>
            <a:defRPr sz="1000"/>
          </a:pPr>
          <a:r>
            <a:rPr lang="en-US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This program allows you to perform the following activities:</a:t>
          </a:r>
        </a:p>
        <a:p>
          <a:pPr algn="l" rtl="0">
            <a:lnSpc>
              <a:spcPts val="1100"/>
            </a:lnSpc>
            <a:defRPr sz="1000"/>
          </a:pPr>
          <a:r>
            <a:rPr lang="en-US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1. Enter each birthday manually.</a:t>
          </a:r>
        </a:p>
        <a:p>
          <a:pPr algn="l" rtl="0">
            <a:lnSpc>
              <a:spcPts val="1100"/>
            </a:lnSpc>
            <a:defRPr sz="1000"/>
          </a:pPr>
          <a:r>
            <a:rPr lang="en-US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2. Enter each birthday randomly.</a:t>
          </a:r>
        </a:p>
        <a:p>
          <a:pPr algn="l" rtl="0">
            <a:defRPr sz="1000"/>
          </a:pPr>
          <a:r>
            <a:rPr lang="en-US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3. Create random birthdays until  two birthdays land on the same day. </a:t>
          </a:r>
        </a:p>
        <a:p>
          <a:pPr algn="l" rtl="0">
            <a:defRPr sz="1000"/>
          </a:pPr>
          <a:r>
            <a:rPr lang="en-US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4. Run a simulation. Random birthdays will be generated for classes of different size. The probability of a match will be displayed. </a:t>
          </a:r>
        </a:p>
        <a:p>
          <a:pPr algn="l" rtl="0">
            <a:defRPr sz="1000"/>
          </a:pPr>
          <a:r>
            <a:rPr lang="en-US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    Note: There is no animation during simulation. </a:t>
          </a:r>
        </a:p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 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66675</xdr:colOff>
          <xdr:row>27</xdr:row>
          <xdr:rowOff>76200</xdr:rowOff>
        </xdr:from>
        <xdr:to>
          <xdr:col>4</xdr:col>
          <xdr:colOff>133350</xdr:colOff>
          <xdr:row>34</xdr:row>
          <xdr:rowOff>38100</xdr:rowOff>
        </xdr:to>
        <xdr:sp macro="" textlink="">
          <xdr:nvSpPr>
            <xdr:cNvPr id="1031" name="Group Box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Create Random Birthdays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85725</xdr:colOff>
          <xdr:row>15</xdr:row>
          <xdr:rowOff>0</xdr:rowOff>
        </xdr:from>
        <xdr:to>
          <xdr:col>2</xdr:col>
          <xdr:colOff>361950</xdr:colOff>
          <xdr:row>16</xdr:row>
          <xdr:rowOff>104775</xdr:rowOff>
        </xdr:to>
        <xdr:sp macro="" textlink="">
          <xdr:nvSpPr>
            <xdr:cNvPr id="1030" name="txtMonth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552450</xdr:colOff>
          <xdr:row>15</xdr:row>
          <xdr:rowOff>0</xdr:rowOff>
        </xdr:from>
        <xdr:to>
          <xdr:col>3</xdr:col>
          <xdr:colOff>219075</xdr:colOff>
          <xdr:row>16</xdr:row>
          <xdr:rowOff>104775</xdr:rowOff>
        </xdr:to>
        <xdr:sp macro="" textlink="">
          <xdr:nvSpPr>
            <xdr:cNvPr id="1032" name="txtDay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76200</xdr:colOff>
          <xdr:row>13</xdr:row>
          <xdr:rowOff>0</xdr:rowOff>
        </xdr:from>
        <xdr:to>
          <xdr:col>4</xdr:col>
          <xdr:colOff>104775</xdr:colOff>
          <xdr:row>19</xdr:row>
          <xdr:rowOff>95250</xdr:rowOff>
        </xdr:to>
        <xdr:sp macro="" textlink="">
          <xdr:nvSpPr>
            <xdr:cNvPr id="1039" name="Group Box 15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Enter Birthday Manually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57150</xdr:colOff>
          <xdr:row>35</xdr:row>
          <xdr:rowOff>38100</xdr:rowOff>
        </xdr:from>
        <xdr:to>
          <xdr:col>4</xdr:col>
          <xdr:colOff>114300</xdr:colOff>
          <xdr:row>45</xdr:row>
          <xdr:rowOff>133350</xdr:rowOff>
        </xdr:to>
        <xdr:sp macro="" textlink="">
          <xdr:nvSpPr>
            <xdr:cNvPr id="1040" name="Group Box 16" hidden="1">
              <a:extLst>
                <a:ext uri="{63B3BB69-23CF-44E3-9099-C40C66FF867C}">
                  <a14:compatExt spid="_x0000_s10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Simulation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66675</xdr:colOff>
          <xdr:row>36</xdr:row>
          <xdr:rowOff>9525</xdr:rowOff>
        </xdr:from>
        <xdr:to>
          <xdr:col>4</xdr:col>
          <xdr:colOff>142875</xdr:colOff>
          <xdr:row>37</xdr:row>
          <xdr:rowOff>76200</xdr:rowOff>
        </xdr:to>
        <xdr:sp macro="" textlink="">
          <xdr:nvSpPr>
            <xdr:cNvPr id="1041" name="Label 17" hidden="1">
              <a:extLst>
                <a:ext uri="{63B3BB69-23CF-44E3-9099-C40C66FF867C}">
                  <a14:compatExt spid="_x0000_s10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Number of trials per simulation run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171450</xdr:colOff>
          <xdr:row>37</xdr:row>
          <xdr:rowOff>95250</xdr:rowOff>
        </xdr:from>
        <xdr:to>
          <xdr:col>3</xdr:col>
          <xdr:colOff>38100</xdr:colOff>
          <xdr:row>39</xdr:row>
          <xdr:rowOff>66675</xdr:rowOff>
        </xdr:to>
        <xdr:sp macro="" textlink="">
          <xdr:nvSpPr>
            <xdr:cNvPr id="1042" name="txtRuns" hidden="1">
              <a:extLst>
                <a:ext uri="{63B3BB69-23CF-44E3-9099-C40C66FF867C}">
                  <a14:compatExt spid="_x0000_s10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76200</xdr:colOff>
          <xdr:row>20</xdr:row>
          <xdr:rowOff>95250</xdr:rowOff>
        </xdr:from>
        <xdr:to>
          <xdr:col>4</xdr:col>
          <xdr:colOff>104775</xdr:colOff>
          <xdr:row>26</xdr:row>
          <xdr:rowOff>114300</xdr:rowOff>
        </xdr:to>
        <xdr:sp macro="" textlink="">
          <xdr:nvSpPr>
            <xdr:cNvPr id="1054" name="Group Box 30" hidden="1">
              <a:extLst>
                <a:ext uri="{63B3BB69-23CF-44E3-9099-C40C66FF867C}">
                  <a14:compatExt spid="_x0000_s10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Enter Birthday Randomly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276225</xdr:colOff>
          <xdr:row>27</xdr:row>
          <xdr:rowOff>114300</xdr:rowOff>
        </xdr:from>
        <xdr:to>
          <xdr:col>3</xdr:col>
          <xdr:colOff>409575</xdr:colOff>
          <xdr:row>29</xdr:row>
          <xdr:rowOff>38100</xdr:rowOff>
        </xdr:to>
        <xdr:sp macro="" textlink="">
          <xdr:nvSpPr>
            <xdr:cNvPr id="1063" name="Label 39" hidden="1">
              <a:extLst>
                <a:ext uri="{63B3BB69-23CF-44E3-9099-C40C66FF867C}">
                  <a14:compatExt spid="_x0000_s10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(until a match is found)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114300</xdr:colOff>
          <xdr:row>21</xdr:row>
          <xdr:rowOff>19050</xdr:rowOff>
        </xdr:from>
        <xdr:to>
          <xdr:col>3</xdr:col>
          <xdr:colOff>257175</xdr:colOff>
          <xdr:row>22</xdr:row>
          <xdr:rowOff>38100</xdr:rowOff>
        </xdr:to>
        <xdr:sp macro="" textlink="">
          <xdr:nvSpPr>
            <xdr:cNvPr id="1064" name="Label 40" hidden="1">
              <a:extLst>
                <a:ext uri="{63B3BB69-23CF-44E3-9099-C40C66FF867C}">
                  <a14:compatExt spid="_x0000_s10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(one at a time)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85725</xdr:colOff>
          <xdr:row>13</xdr:row>
          <xdr:rowOff>85725</xdr:rowOff>
        </xdr:from>
        <xdr:to>
          <xdr:col>3</xdr:col>
          <xdr:colOff>228600</xdr:colOff>
          <xdr:row>14</xdr:row>
          <xdr:rowOff>114300</xdr:rowOff>
        </xdr:to>
        <xdr:sp macro="" textlink="">
          <xdr:nvSpPr>
            <xdr:cNvPr id="5322" name="Label 1226" hidden="1">
              <a:extLst>
                <a:ext uri="{63B3BB69-23CF-44E3-9099-C40C66FF867C}">
                  <a14:compatExt spid="_x0000_s53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month       day</a:t>
              </a:r>
            </a:p>
          </xdr:txBody>
        </xdr:sp>
        <xdr:clientData/>
      </xdr:twoCellAnchor>
    </mc:Choice>
    <mc:Fallback/>
  </mc:AlternateContent>
  <xdr:twoCellAnchor editAs="oneCell">
    <xdr:from>
      <xdr:col>13</xdr:col>
      <xdr:colOff>41275</xdr:colOff>
      <xdr:row>28</xdr:row>
      <xdr:rowOff>95250</xdr:rowOff>
    </xdr:from>
    <xdr:to>
      <xdr:col>13</xdr:col>
      <xdr:colOff>174625</xdr:colOff>
      <xdr:row>29</xdr:row>
      <xdr:rowOff>104775</xdr:rowOff>
    </xdr:to>
    <xdr:pic>
      <xdr:nvPicPr>
        <xdr:cNvPr id="39" name="Smiley" descr="djssmiley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889625" y="3590925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41275</xdr:colOff>
      <xdr:row>20</xdr:row>
      <xdr:rowOff>95250</xdr:rowOff>
    </xdr:from>
    <xdr:to>
      <xdr:col>11</xdr:col>
      <xdr:colOff>174625</xdr:colOff>
      <xdr:row>21</xdr:row>
      <xdr:rowOff>104775</xdr:rowOff>
    </xdr:to>
    <xdr:pic>
      <xdr:nvPicPr>
        <xdr:cNvPr id="40" name="Smiley" descr="djssmiley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994275" y="260985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8</xdr:col>
      <xdr:colOff>41275</xdr:colOff>
      <xdr:row>35</xdr:row>
      <xdr:rowOff>95250</xdr:rowOff>
    </xdr:from>
    <xdr:to>
      <xdr:col>8</xdr:col>
      <xdr:colOff>174625</xdr:colOff>
      <xdr:row>36</xdr:row>
      <xdr:rowOff>104775</xdr:rowOff>
    </xdr:to>
    <xdr:pic>
      <xdr:nvPicPr>
        <xdr:cNvPr id="41" name="Smiley" descr="djssmiley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51250" y="445770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41275</xdr:colOff>
      <xdr:row>35</xdr:row>
      <xdr:rowOff>95250</xdr:rowOff>
    </xdr:from>
    <xdr:to>
      <xdr:col>5</xdr:col>
      <xdr:colOff>174625</xdr:colOff>
      <xdr:row>36</xdr:row>
      <xdr:rowOff>104775</xdr:rowOff>
    </xdr:to>
    <xdr:pic>
      <xdr:nvPicPr>
        <xdr:cNvPr id="42" name="Smiley" descr="djssmiley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308225" y="445770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41275</xdr:colOff>
      <xdr:row>33</xdr:row>
      <xdr:rowOff>95250</xdr:rowOff>
    </xdr:from>
    <xdr:to>
      <xdr:col>14</xdr:col>
      <xdr:colOff>174625</xdr:colOff>
      <xdr:row>34</xdr:row>
      <xdr:rowOff>104775</xdr:rowOff>
    </xdr:to>
    <xdr:pic>
      <xdr:nvPicPr>
        <xdr:cNvPr id="43" name="Smiley" descr="djssmiley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337300" y="421005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41275</xdr:colOff>
      <xdr:row>24</xdr:row>
      <xdr:rowOff>95250</xdr:rowOff>
    </xdr:from>
    <xdr:to>
      <xdr:col>5</xdr:col>
      <xdr:colOff>174625</xdr:colOff>
      <xdr:row>25</xdr:row>
      <xdr:rowOff>104775</xdr:rowOff>
    </xdr:to>
    <xdr:pic>
      <xdr:nvPicPr>
        <xdr:cNvPr id="44" name="Smiley" descr="djssmiley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308225" y="3095625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15</xdr:col>
      <xdr:colOff>41275</xdr:colOff>
      <xdr:row>35</xdr:row>
      <xdr:rowOff>95250</xdr:rowOff>
    </xdr:from>
    <xdr:to>
      <xdr:col>15</xdr:col>
      <xdr:colOff>174625</xdr:colOff>
      <xdr:row>36</xdr:row>
      <xdr:rowOff>104775</xdr:rowOff>
    </xdr:to>
    <xdr:pic>
      <xdr:nvPicPr>
        <xdr:cNvPr id="45" name="Smiley" descr="djssmiley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784975" y="445770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41275</xdr:colOff>
      <xdr:row>41</xdr:row>
      <xdr:rowOff>95250</xdr:rowOff>
    </xdr:from>
    <xdr:to>
      <xdr:col>9</xdr:col>
      <xdr:colOff>174625</xdr:colOff>
      <xdr:row>42</xdr:row>
      <xdr:rowOff>104775</xdr:rowOff>
    </xdr:to>
    <xdr:pic>
      <xdr:nvPicPr>
        <xdr:cNvPr id="46" name="Smiley" descr="djssmiley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098925" y="520065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15</xdr:col>
      <xdr:colOff>41275</xdr:colOff>
      <xdr:row>13</xdr:row>
      <xdr:rowOff>95250</xdr:rowOff>
    </xdr:from>
    <xdr:to>
      <xdr:col>15</xdr:col>
      <xdr:colOff>174625</xdr:colOff>
      <xdr:row>14</xdr:row>
      <xdr:rowOff>104775</xdr:rowOff>
    </xdr:to>
    <xdr:pic>
      <xdr:nvPicPr>
        <xdr:cNvPr id="47" name="Smiley" descr="djssmiley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784975" y="1743075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41275</xdr:colOff>
      <xdr:row>23</xdr:row>
      <xdr:rowOff>85725</xdr:rowOff>
    </xdr:from>
    <xdr:to>
      <xdr:col>16</xdr:col>
      <xdr:colOff>174625</xdr:colOff>
      <xdr:row>24</xdr:row>
      <xdr:rowOff>104775</xdr:rowOff>
    </xdr:to>
    <xdr:pic>
      <xdr:nvPicPr>
        <xdr:cNvPr id="48" name="Smiley" descr="djssmiley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32650" y="297180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41275</xdr:colOff>
      <xdr:row>35</xdr:row>
      <xdr:rowOff>95250</xdr:rowOff>
    </xdr:from>
    <xdr:to>
      <xdr:col>11</xdr:col>
      <xdr:colOff>174625</xdr:colOff>
      <xdr:row>36</xdr:row>
      <xdr:rowOff>104775</xdr:rowOff>
    </xdr:to>
    <xdr:pic>
      <xdr:nvPicPr>
        <xdr:cNvPr id="49" name="Smiley" descr="djssmiley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994275" y="445770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41275</xdr:colOff>
      <xdr:row>30</xdr:row>
      <xdr:rowOff>95250</xdr:rowOff>
    </xdr:from>
    <xdr:to>
      <xdr:col>5</xdr:col>
      <xdr:colOff>174625</xdr:colOff>
      <xdr:row>31</xdr:row>
      <xdr:rowOff>104775</xdr:rowOff>
    </xdr:to>
    <xdr:pic>
      <xdr:nvPicPr>
        <xdr:cNvPr id="50" name="Smiley" descr="djssmiley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308225" y="3838575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41275</xdr:colOff>
      <xdr:row>20</xdr:row>
      <xdr:rowOff>95250</xdr:rowOff>
    </xdr:from>
    <xdr:to>
      <xdr:col>10</xdr:col>
      <xdr:colOff>174625</xdr:colOff>
      <xdr:row>21</xdr:row>
      <xdr:rowOff>104775</xdr:rowOff>
    </xdr:to>
    <xdr:pic>
      <xdr:nvPicPr>
        <xdr:cNvPr id="51" name="Smiley" descr="djssmiley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46600" y="260985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12</xdr:col>
      <xdr:colOff>41275</xdr:colOff>
      <xdr:row>32</xdr:row>
      <xdr:rowOff>95250</xdr:rowOff>
    </xdr:from>
    <xdr:to>
      <xdr:col>12</xdr:col>
      <xdr:colOff>174625</xdr:colOff>
      <xdr:row>33</xdr:row>
      <xdr:rowOff>104775</xdr:rowOff>
    </xdr:to>
    <xdr:pic>
      <xdr:nvPicPr>
        <xdr:cNvPr id="52" name="Smiley" descr="djssmiley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41950" y="4086225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8</xdr:col>
      <xdr:colOff>41275</xdr:colOff>
      <xdr:row>20</xdr:row>
      <xdr:rowOff>95250</xdr:rowOff>
    </xdr:from>
    <xdr:to>
      <xdr:col>8</xdr:col>
      <xdr:colOff>174625</xdr:colOff>
      <xdr:row>21</xdr:row>
      <xdr:rowOff>104775</xdr:rowOff>
    </xdr:to>
    <xdr:pic>
      <xdr:nvPicPr>
        <xdr:cNvPr id="53" name="Smiley" descr="djssmiley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51250" y="260985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41275</xdr:colOff>
      <xdr:row>37</xdr:row>
      <xdr:rowOff>95250</xdr:rowOff>
    </xdr:from>
    <xdr:to>
      <xdr:col>14</xdr:col>
      <xdr:colOff>174625</xdr:colOff>
      <xdr:row>38</xdr:row>
      <xdr:rowOff>104775</xdr:rowOff>
    </xdr:to>
    <xdr:pic>
      <xdr:nvPicPr>
        <xdr:cNvPr id="54" name="Smiley" descr="djssmiley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337300" y="470535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12</xdr:col>
      <xdr:colOff>41275</xdr:colOff>
      <xdr:row>42</xdr:row>
      <xdr:rowOff>95250</xdr:rowOff>
    </xdr:from>
    <xdr:to>
      <xdr:col>12</xdr:col>
      <xdr:colOff>174625</xdr:colOff>
      <xdr:row>43</xdr:row>
      <xdr:rowOff>104775</xdr:rowOff>
    </xdr:to>
    <xdr:pic>
      <xdr:nvPicPr>
        <xdr:cNvPr id="55" name="Smiley" descr="djssmiley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41950" y="5324475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15</xdr:col>
      <xdr:colOff>41275</xdr:colOff>
      <xdr:row>18</xdr:row>
      <xdr:rowOff>95250</xdr:rowOff>
    </xdr:from>
    <xdr:to>
      <xdr:col>15</xdr:col>
      <xdr:colOff>174625</xdr:colOff>
      <xdr:row>19</xdr:row>
      <xdr:rowOff>104775</xdr:rowOff>
    </xdr:to>
    <xdr:pic>
      <xdr:nvPicPr>
        <xdr:cNvPr id="56" name="Smiley" descr="djssmiley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784975" y="236220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13</xdr:col>
      <xdr:colOff>41275</xdr:colOff>
      <xdr:row>41</xdr:row>
      <xdr:rowOff>95250</xdr:rowOff>
    </xdr:from>
    <xdr:to>
      <xdr:col>13</xdr:col>
      <xdr:colOff>174625</xdr:colOff>
      <xdr:row>42</xdr:row>
      <xdr:rowOff>104775</xdr:rowOff>
    </xdr:to>
    <xdr:pic>
      <xdr:nvPicPr>
        <xdr:cNvPr id="57" name="Smiley" descr="djssmiley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889625" y="520065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41275</xdr:colOff>
      <xdr:row>28</xdr:row>
      <xdr:rowOff>95250</xdr:rowOff>
    </xdr:from>
    <xdr:to>
      <xdr:col>7</xdr:col>
      <xdr:colOff>174625</xdr:colOff>
      <xdr:row>29</xdr:row>
      <xdr:rowOff>104775</xdr:rowOff>
    </xdr:to>
    <xdr:pic>
      <xdr:nvPicPr>
        <xdr:cNvPr id="58" name="Smiley" descr="djssmiley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03575" y="3590925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41275</xdr:colOff>
      <xdr:row>39</xdr:row>
      <xdr:rowOff>95250</xdr:rowOff>
    </xdr:from>
    <xdr:to>
      <xdr:col>6</xdr:col>
      <xdr:colOff>174625</xdr:colOff>
      <xdr:row>40</xdr:row>
      <xdr:rowOff>104775</xdr:rowOff>
    </xdr:to>
    <xdr:pic>
      <xdr:nvPicPr>
        <xdr:cNvPr id="59" name="Smiley" descr="djssmiley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55900" y="495300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13</xdr:col>
      <xdr:colOff>41275</xdr:colOff>
      <xdr:row>12</xdr:row>
      <xdr:rowOff>114300</xdr:rowOff>
    </xdr:from>
    <xdr:to>
      <xdr:col>13</xdr:col>
      <xdr:colOff>174625</xdr:colOff>
      <xdr:row>13</xdr:row>
      <xdr:rowOff>104775</xdr:rowOff>
    </xdr:to>
    <xdr:pic>
      <xdr:nvPicPr>
        <xdr:cNvPr id="60" name="Smiley" descr="djssmiley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889625" y="161925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41275</xdr:colOff>
      <xdr:row>15</xdr:row>
      <xdr:rowOff>95250</xdr:rowOff>
    </xdr:from>
    <xdr:to>
      <xdr:col>11</xdr:col>
      <xdr:colOff>174625</xdr:colOff>
      <xdr:row>16</xdr:row>
      <xdr:rowOff>104775</xdr:rowOff>
    </xdr:to>
    <xdr:pic>
      <xdr:nvPicPr>
        <xdr:cNvPr id="61" name="Smiley" descr="djssmiley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994275" y="1990725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41275</xdr:colOff>
      <xdr:row>34</xdr:row>
      <xdr:rowOff>95250</xdr:rowOff>
    </xdr:from>
    <xdr:to>
      <xdr:col>6</xdr:col>
      <xdr:colOff>174625</xdr:colOff>
      <xdr:row>35</xdr:row>
      <xdr:rowOff>104775</xdr:rowOff>
    </xdr:to>
    <xdr:pic>
      <xdr:nvPicPr>
        <xdr:cNvPr id="62" name="Smiley" descr="djssmiley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55900" y="4333875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8</xdr:col>
      <xdr:colOff>41275</xdr:colOff>
      <xdr:row>13</xdr:row>
      <xdr:rowOff>95250</xdr:rowOff>
    </xdr:from>
    <xdr:to>
      <xdr:col>8</xdr:col>
      <xdr:colOff>174625</xdr:colOff>
      <xdr:row>14</xdr:row>
      <xdr:rowOff>104775</xdr:rowOff>
    </xdr:to>
    <xdr:pic>
      <xdr:nvPicPr>
        <xdr:cNvPr id="63" name="Smiley" descr="djssmiley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51250" y="1743075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8</xdr:col>
      <xdr:colOff>41275</xdr:colOff>
      <xdr:row>23</xdr:row>
      <xdr:rowOff>85725</xdr:rowOff>
    </xdr:from>
    <xdr:to>
      <xdr:col>8</xdr:col>
      <xdr:colOff>174625</xdr:colOff>
      <xdr:row>24</xdr:row>
      <xdr:rowOff>104775</xdr:rowOff>
    </xdr:to>
    <xdr:pic>
      <xdr:nvPicPr>
        <xdr:cNvPr id="64" name="Smiley" descr="djssmiley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51250" y="297180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8</xdr:col>
      <xdr:colOff>41275</xdr:colOff>
      <xdr:row>40</xdr:row>
      <xdr:rowOff>95250</xdr:rowOff>
    </xdr:from>
    <xdr:to>
      <xdr:col>8</xdr:col>
      <xdr:colOff>174625</xdr:colOff>
      <xdr:row>41</xdr:row>
      <xdr:rowOff>104775</xdr:rowOff>
    </xdr:to>
    <xdr:pic>
      <xdr:nvPicPr>
        <xdr:cNvPr id="65" name="Smiley" descr="djssmiley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51250" y="5076825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41275</xdr:colOff>
      <xdr:row>24</xdr:row>
      <xdr:rowOff>95250</xdr:rowOff>
    </xdr:from>
    <xdr:to>
      <xdr:col>16</xdr:col>
      <xdr:colOff>174625</xdr:colOff>
      <xdr:row>25</xdr:row>
      <xdr:rowOff>104775</xdr:rowOff>
    </xdr:to>
    <xdr:pic>
      <xdr:nvPicPr>
        <xdr:cNvPr id="66" name="Smiley" descr="djssmiley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32650" y="3095625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8</xdr:col>
      <xdr:colOff>41275</xdr:colOff>
      <xdr:row>16</xdr:row>
      <xdr:rowOff>95250</xdr:rowOff>
    </xdr:from>
    <xdr:to>
      <xdr:col>8</xdr:col>
      <xdr:colOff>174625</xdr:colOff>
      <xdr:row>17</xdr:row>
      <xdr:rowOff>104775</xdr:rowOff>
    </xdr:to>
    <xdr:pic>
      <xdr:nvPicPr>
        <xdr:cNvPr id="67" name="Smiley" descr="djssmiley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51250" y="211455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41275</xdr:colOff>
      <xdr:row>30</xdr:row>
      <xdr:rowOff>95250</xdr:rowOff>
    </xdr:from>
    <xdr:to>
      <xdr:col>6</xdr:col>
      <xdr:colOff>174625</xdr:colOff>
      <xdr:row>31</xdr:row>
      <xdr:rowOff>104775</xdr:rowOff>
    </xdr:to>
    <xdr:pic>
      <xdr:nvPicPr>
        <xdr:cNvPr id="68" name="Smiley" descr="djssmiley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55900" y="3838575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41275</xdr:colOff>
      <xdr:row>24</xdr:row>
      <xdr:rowOff>95250</xdr:rowOff>
    </xdr:from>
    <xdr:to>
      <xdr:col>9</xdr:col>
      <xdr:colOff>174625</xdr:colOff>
      <xdr:row>25</xdr:row>
      <xdr:rowOff>104775</xdr:rowOff>
    </xdr:to>
    <xdr:pic>
      <xdr:nvPicPr>
        <xdr:cNvPr id="69" name="Smiley" descr="djssmiley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098925" y="3095625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13</xdr:col>
      <xdr:colOff>41275</xdr:colOff>
      <xdr:row>21</xdr:row>
      <xdr:rowOff>95250</xdr:rowOff>
    </xdr:from>
    <xdr:to>
      <xdr:col>13</xdr:col>
      <xdr:colOff>174625</xdr:colOff>
      <xdr:row>22</xdr:row>
      <xdr:rowOff>104775</xdr:rowOff>
    </xdr:to>
    <xdr:pic>
      <xdr:nvPicPr>
        <xdr:cNvPr id="70" name="Smiley" descr="djssmiley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889625" y="2733675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12</xdr:col>
      <xdr:colOff>41275</xdr:colOff>
      <xdr:row>18</xdr:row>
      <xdr:rowOff>95250</xdr:rowOff>
    </xdr:from>
    <xdr:to>
      <xdr:col>12</xdr:col>
      <xdr:colOff>174625</xdr:colOff>
      <xdr:row>19</xdr:row>
      <xdr:rowOff>104775</xdr:rowOff>
    </xdr:to>
    <xdr:pic>
      <xdr:nvPicPr>
        <xdr:cNvPr id="71" name="Smiley" descr="djssmiley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41950" y="236220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41275</xdr:colOff>
      <xdr:row>30</xdr:row>
      <xdr:rowOff>95250</xdr:rowOff>
    </xdr:from>
    <xdr:to>
      <xdr:col>7</xdr:col>
      <xdr:colOff>174625</xdr:colOff>
      <xdr:row>31</xdr:row>
      <xdr:rowOff>104775</xdr:rowOff>
    </xdr:to>
    <xdr:pic>
      <xdr:nvPicPr>
        <xdr:cNvPr id="72" name="Smiley" descr="djssmiley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03575" y="3838575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41275</xdr:colOff>
      <xdr:row>26</xdr:row>
      <xdr:rowOff>95250</xdr:rowOff>
    </xdr:from>
    <xdr:to>
      <xdr:col>5</xdr:col>
      <xdr:colOff>174625</xdr:colOff>
      <xdr:row>27</xdr:row>
      <xdr:rowOff>104775</xdr:rowOff>
    </xdr:to>
    <xdr:pic>
      <xdr:nvPicPr>
        <xdr:cNvPr id="73" name="Smiley" descr="djssmiley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308225" y="3343275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15</xdr:col>
      <xdr:colOff>41275</xdr:colOff>
      <xdr:row>19</xdr:row>
      <xdr:rowOff>95250</xdr:rowOff>
    </xdr:from>
    <xdr:to>
      <xdr:col>15</xdr:col>
      <xdr:colOff>174625</xdr:colOff>
      <xdr:row>20</xdr:row>
      <xdr:rowOff>104775</xdr:rowOff>
    </xdr:to>
    <xdr:pic>
      <xdr:nvPicPr>
        <xdr:cNvPr id="74" name="Smiley" descr="djssmiley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784975" y="2486025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41275</xdr:colOff>
      <xdr:row>23</xdr:row>
      <xdr:rowOff>85725</xdr:rowOff>
    </xdr:from>
    <xdr:to>
      <xdr:col>14</xdr:col>
      <xdr:colOff>174625</xdr:colOff>
      <xdr:row>24</xdr:row>
      <xdr:rowOff>104775</xdr:rowOff>
    </xdr:to>
    <xdr:pic>
      <xdr:nvPicPr>
        <xdr:cNvPr id="75" name="Smiley" descr="djssmiley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337300" y="297180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8</xdr:col>
      <xdr:colOff>41275</xdr:colOff>
      <xdr:row>39</xdr:row>
      <xdr:rowOff>95250</xdr:rowOff>
    </xdr:from>
    <xdr:to>
      <xdr:col>8</xdr:col>
      <xdr:colOff>174625</xdr:colOff>
      <xdr:row>40</xdr:row>
      <xdr:rowOff>104775</xdr:rowOff>
    </xdr:to>
    <xdr:pic>
      <xdr:nvPicPr>
        <xdr:cNvPr id="76" name="Smiley" descr="djssmiley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51250" y="495300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12</xdr:col>
      <xdr:colOff>41275</xdr:colOff>
      <xdr:row>31</xdr:row>
      <xdr:rowOff>95250</xdr:rowOff>
    </xdr:from>
    <xdr:to>
      <xdr:col>12</xdr:col>
      <xdr:colOff>174625</xdr:colOff>
      <xdr:row>32</xdr:row>
      <xdr:rowOff>104775</xdr:rowOff>
    </xdr:to>
    <xdr:pic>
      <xdr:nvPicPr>
        <xdr:cNvPr id="77" name="Smiley" descr="djssmiley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41950" y="396240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41275</xdr:colOff>
      <xdr:row>14</xdr:row>
      <xdr:rowOff>95250</xdr:rowOff>
    </xdr:from>
    <xdr:to>
      <xdr:col>10</xdr:col>
      <xdr:colOff>174625</xdr:colOff>
      <xdr:row>15</xdr:row>
      <xdr:rowOff>104775</xdr:rowOff>
    </xdr:to>
    <xdr:pic>
      <xdr:nvPicPr>
        <xdr:cNvPr id="78" name="Smiley" descr="djssmiley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46600" y="186690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41275</xdr:colOff>
      <xdr:row>33</xdr:row>
      <xdr:rowOff>95250</xdr:rowOff>
    </xdr:from>
    <xdr:to>
      <xdr:col>11</xdr:col>
      <xdr:colOff>174625</xdr:colOff>
      <xdr:row>34</xdr:row>
      <xdr:rowOff>104775</xdr:rowOff>
    </xdr:to>
    <xdr:pic>
      <xdr:nvPicPr>
        <xdr:cNvPr id="79" name="Smiley" descr="djssmiley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994275" y="421005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15</xdr:col>
      <xdr:colOff>41275</xdr:colOff>
      <xdr:row>37</xdr:row>
      <xdr:rowOff>95250</xdr:rowOff>
    </xdr:from>
    <xdr:to>
      <xdr:col>15</xdr:col>
      <xdr:colOff>174625</xdr:colOff>
      <xdr:row>38</xdr:row>
      <xdr:rowOff>104775</xdr:rowOff>
    </xdr:to>
    <xdr:pic>
      <xdr:nvPicPr>
        <xdr:cNvPr id="80" name="Smiley" descr="djssmiley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784975" y="470535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41275</xdr:colOff>
      <xdr:row>28</xdr:row>
      <xdr:rowOff>95250</xdr:rowOff>
    </xdr:from>
    <xdr:to>
      <xdr:col>5</xdr:col>
      <xdr:colOff>174625</xdr:colOff>
      <xdr:row>29</xdr:row>
      <xdr:rowOff>104775</xdr:rowOff>
    </xdr:to>
    <xdr:pic>
      <xdr:nvPicPr>
        <xdr:cNvPr id="81" name="Smiley" descr="djssmiley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308225" y="3590925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15</xdr:col>
      <xdr:colOff>41275</xdr:colOff>
      <xdr:row>24</xdr:row>
      <xdr:rowOff>95250</xdr:rowOff>
    </xdr:from>
    <xdr:to>
      <xdr:col>15</xdr:col>
      <xdr:colOff>174625</xdr:colOff>
      <xdr:row>25</xdr:row>
      <xdr:rowOff>104775</xdr:rowOff>
    </xdr:to>
    <xdr:pic>
      <xdr:nvPicPr>
        <xdr:cNvPr id="82" name="Smiley" descr="djssmiley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784975" y="3095625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13</xdr:col>
      <xdr:colOff>41275</xdr:colOff>
      <xdr:row>27</xdr:row>
      <xdr:rowOff>95250</xdr:rowOff>
    </xdr:from>
    <xdr:to>
      <xdr:col>13</xdr:col>
      <xdr:colOff>174625</xdr:colOff>
      <xdr:row>28</xdr:row>
      <xdr:rowOff>104775</xdr:rowOff>
    </xdr:to>
    <xdr:pic>
      <xdr:nvPicPr>
        <xdr:cNvPr id="83" name="Smiley" descr="djssmiley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889625" y="3467100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41275</xdr:colOff>
      <xdr:row>26</xdr:row>
      <xdr:rowOff>95250</xdr:rowOff>
    </xdr:from>
    <xdr:to>
      <xdr:col>11</xdr:col>
      <xdr:colOff>174625</xdr:colOff>
      <xdr:row>27</xdr:row>
      <xdr:rowOff>104775</xdr:rowOff>
    </xdr:to>
    <xdr:pic>
      <xdr:nvPicPr>
        <xdr:cNvPr id="84" name="Smiley" descr="djssmiley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994275" y="3343275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104775</xdr:colOff>
      <xdr:row>3</xdr:row>
      <xdr:rowOff>9525</xdr:rowOff>
    </xdr:from>
    <xdr:to>
      <xdr:col>11</xdr:col>
      <xdr:colOff>152400</xdr:colOff>
      <xdr:row>5</xdr:row>
      <xdr:rowOff>76200</xdr:rowOff>
    </xdr:to>
    <xdr:grpSp>
      <xdr:nvGrpSpPr>
        <xdr:cNvPr id="25602" name="Group 2"/>
        <xdr:cNvGrpSpPr>
          <a:grpSpLocks/>
        </xdr:cNvGrpSpPr>
      </xdr:nvGrpSpPr>
      <xdr:grpSpPr bwMode="auto">
        <a:xfrm>
          <a:off x="5105400" y="523875"/>
          <a:ext cx="1266825" cy="342900"/>
          <a:chOff x="267" y="580"/>
          <a:chExt cx="113" cy="37"/>
        </a:xfrm>
      </xdr:grpSpPr>
      <xdr:sp macro="[0]!ReturnToProg" textlink="">
        <xdr:nvSpPr>
          <xdr:cNvPr id="25603" name="AutoShape 3"/>
          <xdr:cNvSpPr>
            <a:spLocks noChangeArrowheads="1"/>
          </xdr:cNvSpPr>
        </xdr:nvSpPr>
        <xdr:spPr bwMode="auto">
          <a:xfrm>
            <a:off x="267" y="580"/>
            <a:ext cx="113" cy="37"/>
          </a:xfrm>
          <a:prstGeom prst="bevel">
            <a:avLst>
              <a:gd name="adj" fmla="val 12500"/>
            </a:avLst>
          </a:prstGeom>
          <a:gradFill rotWithShape="1">
            <a:gsLst>
              <a:gs pos="0">
                <a:srgbClr val="C0C0C0"/>
              </a:gs>
              <a:gs pos="100000">
                <a:srgbClr val="D1D1D1">
                  <a:gamma/>
                  <a:tint val="73725"/>
                  <a:invGamma/>
                </a:srgbClr>
              </a:gs>
            </a:gsLst>
            <a:lin ang="5400000" scaled="1"/>
          </a:gradFill>
          <a:ln w="9525">
            <a:solidFill>
              <a:srgbClr val="808080"/>
            </a:solidFill>
            <a:miter lim="800000"/>
            <a:headEnd/>
            <a:tailEnd/>
          </a:ln>
        </xdr:spPr>
      </xdr:sp>
      <xdr:sp macro="[0]!ReturnToProg" textlink="">
        <xdr:nvSpPr>
          <xdr:cNvPr id="25604" name="Text Box 4"/>
          <xdr:cNvSpPr txBox="1">
            <a:spLocks noChangeArrowheads="1"/>
          </xdr:cNvSpPr>
        </xdr:nvSpPr>
        <xdr:spPr bwMode="auto">
          <a:xfrm>
            <a:off x="273" y="587"/>
            <a:ext cx="99" cy="25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65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en-US" sz="9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Return to Program</a:t>
            </a:r>
          </a:p>
        </xdr:txBody>
      </xdr:sp>
    </xdr:grpSp>
    <xdr:clientData/>
  </xdr:twoCellAnchor>
  <xdr:twoCellAnchor>
    <xdr:from>
      <xdr:col>9</xdr:col>
      <xdr:colOff>104775</xdr:colOff>
      <xdr:row>0</xdr:row>
      <xdr:rowOff>133350</xdr:rowOff>
    </xdr:from>
    <xdr:to>
      <xdr:col>11</xdr:col>
      <xdr:colOff>152400</xdr:colOff>
      <xdr:row>2</xdr:row>
      <xdr:rowOff>66675</xdr:rowOff>
    </xdr:to>
    <xdr:grpSp>
      <xdr:nvGrpSpPr>
        <xdr:cNvPr id="25605" name="Group 5"/>
        <xdr:cNvGrpSpPr>
          <a:grpSpLocks/>
        </xdr:cNvGrpSpPr>
      </xdr:nvGrpSpPr>
      <xdr:grpSpPr bwMode="auto">
        <a:xfrm>
          <a:off x="5105400" y="133350"/>
          <a:ext cx="1266825" cy="304800"/>
          <a:chOff x="267" y="580"/>
          <a:chExt cx="113" cy="37"/>
        </a:xfrm>
      </xdr:grpSpPr>
      <xdr:sp macro="[0]!ExitProg" textlink="">
        <xdr:nvSpPr>
          <xdr:cNvPr id="25606" name="AutoShape 6"/>
          <xdr:cNvSpPr>
            <a:spLocks noChangeArrowheads="1"/>
          </xdr:cNvSpPr>
        </xdr:nvSpPr>
        <xdr:spPr bwMode="auto">
          <a:xfrm>
            <a:off x="267" y="580"/>
            <a:ext cx="113" cy="37"/>
          </a:xfrm>
          <a:prstGeom prst="bevel">
            <a:avLst>
              <a:gd name="adj" fmla="val 12500"/>
            </a:avLst>
          </a:prstGeom>
          <a:gradFill rotWithShape="1">
            <a:gsLst>
              <a:gs pos="0">
                <a:srgbClr val="C0C0C0"/>
              </a:gs>
              <a:gs pos="100000">
                <a:srgbClr val="D1D1D1">
                  <a:gamma/>
                  <a:tint val="73725"/>
                  <a:invGamma/>
                </a:srgbClr>
              </a:gs>
            </a:gsLst>
            <a:lin ang="5400000" scaled="1"/>
          </a:gradFill>
          <a:ln w="9525">
            <a:solidFill>
              <a:srgbClr val="808080"/>
            </a:solidFill>
            <a:miter lim="800000"/>
            <a:headEnd/>
            <a:tailEnd/>
          </a:ln>
        </xdr:spPr>
      </xdr:sp>
      <xdr:sp macro="[0]!ExitProg" textlink="">
        <xdr:nvSpPr>
          <xdr:cNvPr id="25607" name="Text Box 7"/>
          <xdr:cNvSpPr txBox="1">
            <a:spLocks noChangeArrowheads="1"/>
          </xdr:cNvSpPr>
        </xdr:nvSpPr>
        <xdr:spPr bwMode="auto">
          <a:xfrm>
            <a:off x="273" y="587"/>
            <a:ext cx="99" cy="25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65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en-US" sz="9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Exit</a:t>
            </a:r>
          </a:p>
        </xdr:txBody>
      </xdr:sp>
    </xdr:grpSp>
    <xdr:clientData/>
  </xdr:twoCellAnchor>
  <xdr:twoCellAnchor>
    <xdr:from>
      <xdr:col>1</xdr:col>
      <xdr:colOff>180975</xdr:colOff>
      <xdr:row>0</xdr:row>
      <xdr:rowOff>123825</xdr:rowOff>
    </xdr:from>
    <xdr:to>
      <xdr:col>8</xdr:col>
      <xdr:colOff>552450</xdr:colOff>
      <xdr:row>5</xdr:row>
      <xdr:rowOff>104775</xdr:rowOff>
    </xdr:to>
    <xdr:sp macro="" textlink="">
      <xdr:nvSpPr>
        <xdr:cNvPr id="25608" name="Text Box 8"/>
        <xdr:cNvSpPr txBox="1">
          <a:spLocks noChangeArrowheads="1"/>
        </xdr:cNvSpPr>
      </xdr:nvSpPr>
      <xdr:spPr bwMode="auto">
        <a:xfrm>
          <a:off x="180975" y="123825"/>
          <a:ext cx="4762500" cy="771525"/>
        </a:xfrm>
        <a:prstGeom prst="rect">
          <a:avLst/>
        </a:prstGeom>
        <a:solidFill>
          <a:srgbClr val="FFFFFF"/>
        </a:solidFill>
        <a:ln w="9525" algn="ctr">
          <a:solidFill>
            <a:srgbClr val="00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Theoretically the probability of having at least two students with the same birthday should increase as the number of students in the class increases. </a:t>
          </a:r>
        </a:p>
        <a:p>
          <a:pPr algn="l" rtl="0">
            <a:defRPr sz="1000"/>
          </a:pPr>
          <a:r>
            <a:rPr lang="en-US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This graph shows that on average there is a 50% chance of having two students with matching birthdays in a class of size 23.</a:t>
          </a:r>
        </a:p>
      </xdr:txBody>
    </xdr:sp>
    <xdr:clientData/>
  </xdr:twoCellAnchor>
  <xdr:twoCellAnchor editAs="oneCell">
    <xdr:from>
      <xdr:col>11</xdr:col>
      <xdr:colOff>285750</xdr:colOff>
      <xdr:row>0</xdr:row>
      <xdr:rowOff>114300</xdr:rowOff>
    </xdr:from>
    <xdr:to>
      <xdr:col>12</xdr:col>
      <xdr:colOff>314325</xdr:colOff>
      <xdr:row>6</xdr:row>
      <xdr:rowOff>9525</xdr:rowOff>
    </xdr:to>
    <xdr:pic>
      <xdr:nvPicPr>
        <xdr:cNvPr id="25609" name="Picture 9" descr="happy-birthday-balloons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3326" t="20602" r="52759" b="5260"/>
        <a:stretch>
          <a:fillRect/>
        </a:stretch>
      </xdr:blipFill>
      <xdr:spPr bwMode="auto">
        <a:xfrm>
          <a:off x="6505575" y="114300"/>
          <a:ext cx="638175" cy="8191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4</xdr:col>
      <xdr:colOff>152400</xdr:colOff>
      <xdr:row>10</xdr:row>
      <xdr:rowOff>0</xdr:rowOff>
    </xdr:from>
    <xdr:to>
      <xdr:col>12</xdr:col>
      <xdr:colOff>476250</xdr:colOff>
      <xdr:row>38</xdr:row>
      <xdr:rowOff>28575</xdr:rowOff>
    </xdr:to>
    <xdr:graphicFrame macro="">
      <xdr:nvGraphicFramePr>
        <xdr:cNvPr id="25610" name="Chart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0.02528</cdr:x>
      <cdr:y>0.15779</cdr:y>
    </cdr:from>
    <cdr:to>
      <cdr:x>0.09986</cdr:x>
      <cdr:y>0.87663</cdr:y>
    </cdr:to>
    <cdr:sp macro="" textlink="">
      <cdr:nvSpPr>
        <cdr:cNvPr id="27649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132215" y="638907"/>
          <a:ext cx="380771" cy="28962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ffectLst xmlns:a="http://schemas.openxmlformats.org/drawingml/2006/main"/>
        <a:extLst xmlns:a="http://schemas.openxmlformats.org/drawingml/2006/main"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cdr:spPr>
      <cdr:txBody>
        <a:bodyPr xmlns:a="http://schemas.openxmlformats.org/drawingml/2006/main" vertOverflow="clip" vert="vert270" wrap="square" lIns="27432" tIns="22860" rIns="27432" bIns="22860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975" b="1" i="0" u="none" strike="noStrike" baseline="0">
              <a:solidFill>
                <a:srgbClr val="000000"/>
              </a:solidFill>
              <a:latin typeface="Arial"/>
              <a:cs typeface="Arial"/>
            </a:rPr>
            <a:t>Probability </a:t>
          </a:r>
        </a:p>
      </cdr:txBody>
    </cdr:sp>
  </cdr:relSizeAnchor>
  <cdr:relSizeAnchor xmlns:cdr="http://schemas.openxmlformats.org/drawingml/2006/chartDrawing">
    <cdr:from>
      <cdr:x>0.12537</cdr:x>
      <cdr:y>0.03794</cdr:y>
    </cdr:from>
    <cdr:to>
      <cdr:x>0.9708</cdr:x>
      <cdr:y>0.15779</cdr:y>
    </cdr:to>
    <cdr:sp macro="" textlink="">
      <cdr:nvSpPr>
        <cdr:cNvPr id="27650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643250" y="156030"/>
          <a:ext cx="4316244" cy="482877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ffectLst xmlns:a="http://schemas.openxmlformats.org/drawingml/2006/main"/>
        <a:extLst xmlns:a="http://schemas.openxmlformats.org/drawingml/2006/main"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cdr:spPr>
      <cdr:txBody>
        <a:bodyPr xmlns:a="http://schemas.openxmlformats.org/drawingml/2006/main" vertOverflow="clip" wrap="square" lIns="36576" tIns="27432" rIns="36576" bIns="27432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375" b="1" i="0" u="none" strike="noStrike" baseline="0">
              <a:solidFill>
                <a:srgbClr val="000000"/>
              </a:solidFill>
              <a:latin typeface="Arial"/>
              <a:cs typeface="Arial"/>
            </a:rPr>
            <a:t>Probability of 2 Students with Same Birthday</a:t>
          </a:r>
        </a:p>
      </cdr:txBody>
    </cdr:sp>
  </cdr:relSizeAnchor>
</c:userShapes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228600</xdr:colOff>
      <xdr:row>0</xdr:row>
      <xdr:rowOff>9525</xdr:rowOff>
    </xdr:from>
    <xdr:to>
      <xdr:col>0</xdr:col>
      <xdr:colOff>381000</xdr:colOff>
      <xdr:row>1</xdr:row>
      <xdr:rowOff>0</xdr:rowOff>
    </xdr:to>
    <xdr:pic>
      <xdr:nvPicPr>
        <xdr:cNvPr id="4101" name="Smile" descr="smileyface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28600" y="9525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114300</xdr:colOff>
      <xdr:row>3</xdr:row>
      <xdr:rowOff>38100</xdr:rowOff>
    </xdr:from>
    <xdr:to>
      <xdr:col>4</xdr:col>
      <xdr:colOff>390525</xdr:colOff>
      <xdr:row>28</xdr:row>
      <xdr:rowOff>114300</xdr:rowOff>
    </xdr:to>
    <xdr:pic>
      <xdr:nvPicPr>
        <xdr:cNvPr id="4105" name="Picture 9" descr="happy-birthday-balloons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lum bright="20000"/>
          <a:extLst>
            <a:ext uri="{28A0092B-C50C-407E-A947-70E740481C1C}">
              <a14:useLocalDpi xmlns:a14="http://schemas.microsoft.com/office/drawing/2010/main" val="0"/>
            </a:ext>
          </a:extLst>
        </a:blip>
        <a:srcRect l="13333" t="20583" r="52737" b="5145"/>
        <a:stretch>
          <a:fillRect/>
        </a:stretch>
      </xdr:blipFill>
      <xdr:spPr bwMode="auto">
        <a:xfrm>
          <a:off x="114300" y="523875"/>
          <a:ext cx="2714625" cy="41243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238125</xdr:colOff>
      <xdr:row>0</xdr:row>
      <xdr:rowOff>28575</xdr:rowOff>
    </xdr:from>
    <xdr:to>
      <xdr:col>1</xdr:col>
      <xdr:colOff>371475</xdr:colOff>
      <xdr:row>1</xdr:row>
      <xdr:rowOff>0</xdr:rowOff>
    </xdr:to>
    <xdr:pic>
      <xdr:nvPicPr>
        <xdr:cNvPr id="4107" name="Smiley" descr="djssmiley"/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7725" y="28575"/>
          <a:ext cx="1333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ctrlProp" Target="../ctrlProps/ctrlProp4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3.emf"/><Relationship Id="rId12" Type="http://schemas.openxmlformats.org/officeDocument/2006/relationships/ctrlProp" Target="../ctrlProps/ctrlProp3.xml"/><Relationship Id="rId17" Type="http://schemas.openxmlformats.org/officeDocument/2006/relationships/ctrlProp" Target="../ctrlProps/ctrlProp8.xml"/><Relationship Id="rId2" Type="http://schemas.openxmlformats.org/officeDocument/2006/relationships/drawing" Target="../drawings/drawing2.xml"/><Relationship Id="rId16" Type="http://schemas.openxmlformats.org/officeDocument/2006/relationships/ctrlProp" Target="../ctrlProps/ctrlProp7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11" Type="http://schemas.openxmlformats.org/officeDocument/2006/relationships/ctrlProp" Target="../ctrlProps/ctrlProp2.xml"/><Relationship Id="rId5" Type="http://schemas.openxmlformats.org/officeDocument/2006/relationships/image" Target="../media/image2.emf"/><Relationship Id="rId15" Type="http://schemas.openxmlformats.org/officeDocument/2006/relationships/ctrlProp" Target="../ctrlProps/ctrlProp6.xml"/><Relationship Id="rId10" Type="http://schemas.openxmlformats.org/officeDocument/2006/relationships/ctrlProp" Target="../ctrlProps/ctrlProp1.xml"/><Relationship Id="rId4" Type="http://schemas.openxmlformats.org/officeDocument/2006/relationships/control" Target="../activeX/activeX1.xml"/><Relationship Id="rId9" Type="http://schemas.openxmlformats.org/officeDocument/2006/relationships/image" Target="../media/image4.emf"/><Relationship Id="rId14" Type="http://schemas.openxmlformats.org/officeDocument/2006/relationships/ctrlProp" Target="../ctrlProps/ctrlProp5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showGridLines="0" showRowColHeaders="0" tabSelected="1" workbookViewId="0">
      <selection activeCell="K33" sqref="K33"/>
    </sheetView>
  </sheetViews>
  <sheetFormatPr defaultRowHeight="12.75" x14ac:dyDescent="0.2"/>
  <cols>
    <col min="1" max="16384" width="9.140625" style="6"/>
  </cols>
  <sheetData>
    <row r="1" spans="1:1" x14ac:dyDescent="0.2">
      <c r="A1" s="15" t="s">
        <v>13</v>
      </c>
    </row>
  </sheetData>
  <sheetProtection password="8C4D" sheet="1" objects="1" scenarios="1" selectLockedCells="1" selectUnlockedCells="1"/>
  <phoneticPr fontId="1" type="noConversion"/>
  <pageMargins left="0.75" right="0.75" top="1" bottom="1" header="0.5" footer="0.5"/>
  <pageSetup orientation="portrait" horizontalDpi="4294967293" verticalDpi="4294967293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C1:U129"/>
  <sheetViews>
    <sheetView showGridLines="0" showRowColHeaders="0" defaultGridColor="0" colorId="22" workbookViewId="0">
      <selection activeCell="J26" sqref="J26"/>
    </sheetView>
  </sheetViews>
  <sheetFormatPr defaultRowHeight="12.75" x14ac:dyDescent="0.2"/>
  <cols>
    <col min="1" max="1" width="4.7109375" style="2" customWidth="1"/>
    <col min="2" max="2" width="6" style="2" customWidth="1"/>
    <col min="3" max="3" width="9.140625" style="1"/>
    <col min="4" max="4" width="8.42578125" style="1" customWidth="1"/>
    <col min="5" max="5" width="5.7109375" style="2" customWidth="1"/>
    <col min="6" max="18" width="6.7109375" style="2" customWidth="1"/>
    <col min="19" max="19" width="7.85546875" style="3" customWidth="1"/>
    <col min="20" max="20" width="7.28515625" style="3" customWidth="1"/>
    <col min="21" max="16384" width="9.140625" style="2"/>
  </cols>
  <sheetData>
    <row r="1" spans="5:17" ht="26.25" customHeight="1" x14ac:dyDescent="0.2"/>
    <row r="2" spans="5:17" ht="11.25" customHeight="1" x14ac:dyDescent="0.2"/>
    <row r="3" spans="5:17" ht="11.25" customHeight="1" x14ac:dyDescent="0.2"/>
    <row r="4" spans="5:17" ht="11.25" customHeight="1" x14ac:dyDescent="0.2"/>
    <row r="5" spans="5:17" ht="11.25" customHeight="1" x14ac:dyDescent="0.2"/>
    <row r="6" spans="5:17" ht="11.25" customHeight="1" x14ac:dyDescent="0.2"/>
    <row r="7" spans="5:17" ht="6" customHeight="1" x14ac:dyDescent="0.2"/>
    <row r="8" spans="5:17" ht="6" customHeight="1" x14ac:dyDescent="0.2"/>
    <row r="9" spans="5:17" ht="6" customHeight="1" x14ac:dyDescent="0.2"/>
    <row r="10" spans="5:17" ht="6" customHeight="1" x14ac:dyDescent="0.2"/>
    <row r="11" spans="5:17" ht="6" customHeight="1" x14ac:dyDescent="0.2"/>
    <row r="12" spans="5:17" ht="6" customHeight="1" x14ac:dyDescent="0.2"/>
    <row r="13" spans="5:17" ht="11.25" customHeight="1" x14ac:dyDescent="0.2">
      <c r="F13" s="4" t="s">
        <v>0</v>
      </c>
      <c r="G13" s="4" t="s">
        <v>1</v>
      </c>
      <c r="H13" s="4" t="s">
        <v>2</v>
      </c>
      <c r="I13" s="4" t="s">
        <v>4</v>
      </c>
      <c r="J13" s="4" t="s">
        <v>3</v>
      </c>
      <c r="K13" s="4" t="s">
        <v>5</v>
      </c>
      <c r="L13" s="4" t="s">
        <v>6</v>
      </c>
      <c r="M13" s="4" t="s">
        <v>7</v>
      </c>
      <c r="N13" s="4" t="s">
        <v>8</v>
      </c>
      <c r="O13" s="4" t="s">
        <v>9</v>
      </c>
      <c r="P13" s="4" t="s">
        <v>10</v>
      </c>
      <c r="Q13" s="4" t="s">
        <v>11</v>
      </c>
    </row>
    <row r="14" spans="5:17" ht="9.75" customHeight="1" x14ac:dyDescent="0.2">
      <c r="E14" s="5">
        <v>1</v>
      </c>
      <c r="F14" s="16"/>
      <c r="G14" s="16"/>
      <c r="H14" s="16"/>
      <c r="I14" s="16"/>
      <c r="J14" s="16"/>
      <c r="K14" s="16"/>
      <c r="L14" s="16"/>
      <c r="M14" s="16"/>
      <c r="N14" s="71"/>
      <c r="O14" s="16"/>
      <c r="P14" s="16"/>
      <c r="Q14" s="16"/>
    </row>
    <row r="15" spans="5:17" ht="9.75" customHeight="1" x14ac:dyDescent="0.2">
      <c r="E15" s="5">
        <v>2</v>
      </c>
      <c r="F15" s="16"/>
      <c r="G15" s="16"/>
      <c r="H15" s="16"/>
      <c r="I15" s="71"/>
      <c r="J15" s="16"/>
      <c r="K15" s="16"/>
      <c r="L15" s="16"/>
      <c r="M15" s="16"/>
      <c r="N15" s="16"/>
      <c r="O15" s="16"/>
      <c r="P15" s="71"/>
      <c r="Q15" s="16"/>
    </row>
    <row r="16" spans="5:17" ht="9.75" customHeight="1" x14ac:dyDescent="0.2">
      <c r="E16" s="5">
        <v>3</v>
      </c>
      <c r="F16" s="16"/>
      <c r="G16" s="16"/>
      <c r="H16" s="16"/>
      <c r="I16" s="16"/>
      <c r="J16" s="16"/>
      <c r="K16" s="71"/>
      <c r="L16" s="16"/>
      <c r="M16" s="16"/>
      <c r="N16" s="16"/>
      <c r="O16" s="16"/>
      <c r="P16" s="16"/>
      <c r="Q16" s="16"/>
    </row>
    <row r="17" spans="5:21" ht="9.75" customHeight="1" x14ac:dyDescent="0.2">
      <c r="E17" s="5">
        <v>4</v>
      </c>
      <c r="F17" s="16"/>
      <c r="G17" s="16"/>
      <c r="H17" s="16"/>
      <c r="I17" s="16"/>
      <c r="J17" s="16"/>
      <c r="K17" s="16"/>
      <c r="L17" s="71"/>
      <c r="M17" s="16"/>
      <c r="N17" s="16"/>
      <c r="O17" s="16"/>
      <c r="P17" s="16"/>
      <c r="Q17" s="16"/>
    </row>
    <row r="18" spans="5:21" ht="9.75" customHeight="1" x14ac:dyDescent="0.2">
      <c r="E18" s="5">
        <v>5</v>
      </c>
      <c r="F18" s="16"/>
      <c r="G18" s="16"/>
      <c r="H18" s="16"/>
      <c r="I18" s="71"/>
      <c r="J18" s="16"/>
      <c r="K18" s="16"/>
      <c r="L18" s="16"/>
      <c r="M18" s="16"/>
      <c r="N18" s="16"/>
      <c r="O18" s="16"/>
      <c r="P18" s="16"/>
      <c r="Q18" s="16"/>
    </row>
    <row r="19" spans="5:21" ht="9.75" customHeight="1" x14ac:dyDescent="0.2">
      <c r="E19" s="5">
        <v>6</v>
      </c>
      <c r="F19" s="16"/>
      <c r="G19" s="16"/>
      <c r="H19" s="16"/>
      <c r="I19" s="16"/>
      <c r="J19" s="16"/>
      <c r="K19" s="16"/>
      <c r="L19" s="16"/>
      <c r="M19" s="16"/>
      <c r="N19" s="16"/>
      <c r="O19" s="16"/>
      <c r="P19" s="16"/>
      <c r="Q19" s="16"/>
    </row>
    <row r="20" spans="5:21" ht="9.75" customHeight="1" thickBot="1" x14ac:dyDescent="0.25">
      <c r="E20" s="5">
        <v>7</v>
      </c>
      <c r="F20" s="16"/>
      <c r="G20" s="16"/>
      <c r="H20" s="16"/>
      <c r="I20" s="16"/>
      <c r="J20" s="16"/>
      <c r="K20" s="16"/>
      <c r="L20" s="25"/>
      <c r="M20" s="71"/>
      <c r="N20" s="16"/>
      <c r="O20" s="16"/>
      <c r="P20" s="71"/>
      <c r="Q20" s="21"/>
    </row>
    <row r="21" spans="5:21" ht="9.75" customHeight="1" x14ac:dyDescent="0.2">
      <c r="E21" s="5">
        <v>8</v>
      </c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71"/>
      <c r="Q21" s="16"/>
      <c r="T21" s="68">
        <v>47</v>
      </c>
    </row>
    <row r="22" spans="5:21" ht="9.75" customHeight="1" thickBot="1" x14ac:dyDescent="0.25">
      <c r="E22" s="5">
        <v>9</v>
      </c>
      <c r="F22" s="16"/>
      <c r="G22" s="16"/>
      <c r="H22" s="16"/>
      <c r="I22" s="71"/>
      <c r="J22" s="16"/>
      <c r="K22" s="71"/>
      <c r="L22" s="71"/>
      <c r="M22" s="16"/>
      <c r="N22" s="16"/>
      <c r="O22" s="16"/>
      <c r="P22" s="16"/>
      <c r="Q22" s="16"/>
      <c r="S22" s="2"/>
      <c r="T22" s="69"/>
    </row>
    <row r="23" spans="5:21" ht="9.75" customHeight="1" x14ac:dyDescent="0.2">
      <c r="E23" s="5">
        <v>10</v>
      </c>
      <c r="F23" s="16"/>
      <c r="G23" s="21"/>
      <c r="H23" s="16"/>
      <c r="I23" s="16"/>
      <c r="J23" s="16"/>
      <c r="K23" s="16"/>
      <c r="L23" s="16"/>
      <c r="M23" s="16"/>
      <c r="N23" s="71"/>
      <c r="O23" s="16"/>
      <c r="P23" s="16"/>
      <c r="Q23" s="16"/>
      <c r="S23" s="2"/>
      <c r="T23" s="2"/>
    </row>
    <row r="24" spans="5:21" ht="9" customHeight="1" x14ac:dyDescent="0.2">
      <c r="E24" s="5">
        <v>11</v>
      </c>
      <c r="F24" s="16"/>
      <c r="G24" s="16"/>
      <c r="H24" s="16"/>
      <c r="I24" s="16"/>
      <c r="J24" s="16"/>
      <c r="K24" s="16"/>
      <c r="L24" s="16"/>
      <c r="M24" s="16"/>
      <c r="N24" s="16"/>
      <c r="O24" s="16"/>
      <c r="P24" s="16"/>
      <c r="Q24" s="16"/>
      <c r="S24" s="2"/>
    </row>
    <row r="25" spans="5:21" ht="9.75" customHeight="1" x14ac:dyDescent="0.2">
      <c r="E25" s="5">
        <v>12</v>
      </c>
      <c r="F25" s="16"/>
      <c r="G25" s="16"/>
      <c r="H25" s="16"/>
      <c r="I25" s="71"/>
      <c r="J25" s="16"/>
      <c r="K25" s="16"/>
      <c r="L25" s="21"/>
      <c r="M25" s="16"/>
      <c r="N25" s="16"/>
      <c r="O25" s="71"/>
      <c r="P25" s="16"/>
      <c r="Q25" s="71"/>
      <c r="U25" s="1"/>
    </row>
    <row r="26" spans="5:21" ht="9.75" customHeight="1" x14ac:dyDescent="0.2">
      <c r="E26" s="5">
        <v>13</v>
      </c>
      <c r="F26" s="72"/>
      <c r="G26" s="16"/>
      <c r="H26" s="16"/>
      <c r="I26" s="16"/>
      <c r="J26" s="73"/>
      <c r="K26" s="16"/>
      <c r="L26" s="16"/>
      <c r="M26" s="16"/>
      <c r="N26" s="16"/>
      <c r="O26" s="16"/>
      <c r="P26" s="71"/>
      <c r="Q26" s="71"/>
      <c r="T26" s="7"/>
      <c r="U26" s="28"/>
    </row>
    <row r="27" spans="5:21" ht="9.75" customHeight="1" x14ac:dyDescent="0.2">
      <c r="E27" s="5">
        <v>14</v>
      </c>
      <c r="F27" s="16"/>
      <c r="G27" s="16"/>
      <c r="H27" s="16"/>
      <c r="I27" s="16"/>
      <c r="J27" s="16"/>
      <c r="K27" s="16"/>
      <c r="L27" s="25"/>
      <c r="M27" s="16"/>
      <c r="N27" s="16"/>
      <c r="O27" s="16"/>
      <c r="P27" s="16"/>
      <c r="Q27" s="16"/>
      <c r="S27" s="1"/>
      <c r="U27" s="35"/>
    </row>
    <row r="28" spans="5:21" ht="9.75" customHeight="1" x14ac:dyDescent="0.2">
      <c r="E28" s="5">
        <v>15</v>
      </c>
      <c r="F28" s="71"/>
      <c r="G28" s="16"/>
      <c r="H28" s="16"/>
      <c r="I28" s="16"/>
      <c r="J28" s="16"/>
      <c r="K28" s="16"/>
      <c r="L28" s="71"/>
      <c r="M28" s="16"/>
      <c r="N28" s="16"/>
      <c r="O28" s="16"/>
      <c r="P28" s="16"/>
      <c r="Q28" s="16"/>
      <c r="S28" s="1"/>
      <c r="U28" s="35"/>
    </row>
    <row r="29" spans="5:21" ht="9.75" customHeight="1" x14ac:dyDescent="0.2">
      <c r="E29" s="5">
        <v>16</v>
      </c>
      <c r="F29" s="16"/>
      <c r="G29" s="16"/>
      <c r="H29" s="16"/>
      <c r="I29" s="16"/>
      <c r="J29" s="16"/>
      <c r="K29" s="16"/>
      <c r="L29" s="16"/>
      <c r="M29" s="21"/>
      <c r="N29" s="71"/>
      <c r="O29" s="16"/>
      <c r="P29" s="16"/>
      <c r="Q29" s="16"/>
      <c r="S29" s="1"/>
      <c r="U29" s="36"/>
    </row>
    <row r="30" spans="5:21" ht="9.75" customHeight="1" x14ac:dyDescent="0.2">
      <c r="E30" s="5">
        <v>17</v>
      </c>
      <c r="F30" s="71"/>
      <c r="G30" s="16"/>
      <c r="H30" s="71"/>
      <c r="I30" s="16"/>
      <c r="J30" s="16"/>
      <c r="K30" s="16"/>
      <c r="L30" s="16"/>
      <c r="M30" s="16"/>
      <c r="N30" s="71"/>
      <c r="O30" s="16"/>
      <c r="P30" s="16"/>
      <c r="Q30" s="16"/>
      <c r="S30" s="1"/>
      <c r="U30" s="36"/>
    </row>
    <row r="31" spans="5:21" ht="9.75" customHeight="1" x14ac:dyDescent="0.2">
      <c r="E31" s="5">
        <v>18</v>
      </c>
      <c r="F31" s="16"/>
      <c r="G31" s="16"/>
      <c r="H31" s="16"/>
      <c r="I31" s="16"/>
      <c r="J31" s="16"/>
      <c r="K31" s="16"/>
      <c r="L31" s="16"/>
      <c r="M31" s="16"/>
      <c r="N31" s="16"/>
      <c r="O31" s="16"/>
      <c r="P31" s="16"/>
      <c r="Q31" s="16"/>
      <c r="S31" s="1"/>
      <c r="U31" s="36"/>
    </row>
    <row r="32" spans="5:21" ht="9.75" customHeight="1" x14ac:dyDescent="0.2">
      <c r="E32" s="5">
        <v>19</v>
      </c>
      <c r="F32" s="71"/>
      <c r="G32" s="71"/>
      <c r="H32" s="71"/>
      <c r="I32" s="16"/>
      <c r="J32" s="16"/>
      <c r="K32" s="16"/>
      <c r="L32" s="16"/>
      <c r="M32" s="16"/>
      <c r="N32" s="16"/>
      <c r="O32" s="16"/>
      <c r="P32" s="16"/>
      <c r="Q32" s="16"/>
      <c r="S32" s="1"/>
      <c r="U32" s="36"/>
    </row>
    <row r="33" spans="5:21" ht="9.75" customHeight="1" x14ac:dyDescent="0.2">
      <c r="E33" s="5">
        <v>20</v>
      </c>
      <c r="F33" s="16"/>
      <c r="G33" s="16"/>
      <c r="H33" s="16"/>
      <c r="I33" s="21"/>
      <c r="J33" s="16"/>
      <c r="K33" s="16"/>
      <c r="L33" s="16"/>
      <c r="M33" s="71"/>
      <c r="N33" s="16"/>
      <c r="O33" s="16"/>
      <c r="P33" s="16"/>
      <c r="Q33" s="16"/>
      <c r="S33" s="1"/>
      <c r="U33" s="36"/>
    </row>
    <row r="34" spans="5:21" ht="9.75" customHeight="1" x14ac:dyDescent="0.2">
      <c r="E34" s="5">
        <v>21</v>
      </c>
      <c r="F34" s="16"/>
      <c r="G34" s="16"/>
      <c r="H34" s="16"/>
      <c r="I34" s="16"/>
      <c r="J34" s="16"/>
      <c r="K34" s="16"/>
      <c r="L34" s="21"/>
      <c r="M34" s="71"/>
      <c r="N34" s="16"/>
      <c r="O34" s="16"/>
      <c r="P34" s="16"/>
      <c r="Q34" s="16"/>
      <c r="S34" s="1"/>
      <c r="U34" s="36"/>
    </row>
    <row r="35" spans="5:21" ht="9.75" customHeight="1" x14ac:dyDescent="0.2">
      <c r="E35" s="5">
        <v>22</v>
      </c>
      <c r="F35" s="16"/>
      <c r="G35" s="16"/>
      <c r="H35" s="16"/>
      <c r="I35" s="16"/>
      <c r="J35" s="16"/>
      <c r="K35" s="16"/>
      <c r="L35" s="71"/>
      <c r="M35" s="16"/>
      <c r="N35" s="16"/>
      <c r="O35" s="72"/>
      <c r="P35" s="16"/>
      <c r="Q35" s="16"/>
      <c r="S35" s="1"/>
      <c r="U35" s="36"/>
    </row>
    <row r="36" spans="5:21" ht="9.75" customHeight="1" x14ac:dyDescent="0.2">
      <c r="E36" s="5">
        <v>23</v>
      </c>
      <c r="F36" s="16"/>
      <c r="G36" s="71"/>
      <c r="H36" s="16"/>
      <c r="I36" s="16"/>
      <c r="J36" s="16"/>
      <c r="K36" s="16"/>
      <c r="L36" s="16"/>
      <c r="M36" s="16"/>
      <c r="N36" s="25"/>
      <c r="O36" s="16"/>
      <c r="P36" s="16"/>
      <c r="Q36" s="16"/>
      <c r="S36" s="1"/>
      <c r="U36" s="36"/>
    </row>
    <row r="37" spans="5:21" ht="9.75" customHeight="1" x14ac:dyDescent="0.2">
      <c r="E37" s="5">
        <v>24</v>
      </c>
      <c r="F37" s="72"/>
      <c r="G37" s="16"/>
      <c r="H37" s="16"/>
      <c r="I37" s="71"/>
      <c r="J37" s="16"/>
      <c r="K37" s="16"/>
      <c r="L37" s="71"/>
      <c r="M37" s="16"/>
      <c r="N37" s="16"/>
      <c r="O37" s="16"/>
      <c r="P37" s="71"/>
      <c r="Q37" s="16"/>
      <c r="U37" s="37"/>
    </row>
    <row r="38" spans="5:21" ht="9.75" customHeight="1" x14ac:dyDescent="0.2">
      <c r="E38" s="5">
        <v>25</v>
      </c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U38" s="37"/>
    </row>
    <row r="39" spans="5:21" ht="9.75" customHeight="1" x14ac:dyDescent="0.2">
      <c r="E39" s="5">
        <v>26</v>
      </c>
      <c r="F39" s="16"/>
      <c r="G39" s="16"/>
      <c r="H39" s="16"/>
      <c r="I39" s="16"/>
      <c r="J39" s="21"/>
      <c r="K39" s="16"/>
      <c r="L39" s="16"/>
      <c r="M39" s="16"/>
      <c r="N39" s="16"/>
      <c r="O39" s="71"/>
      <c r="P39" s="71"/>
      <c r="Q39" s="16"/>
      <c r="U39" s="37"/>
    </row>
    <row r="40" spans="5:21" ht="9.75" customHeight="1" x14ac:dyDescent="0.2">
      <c r="E40" s="5">
        <v>27</v>
      </c>
      <c r="F40" s="16"/>
      <c r="G40" s="16"/>
      <c r="H40" s="16"/>
      <c r="I40" s="16"/>
      <c r="J40" s="16"/>
      <c r="K40" s="16"/>
      <c r="L40" s="16"/>
      <c r="M40" s="16"/>
      <c r="N40" s="16"/>
      <c r="O40" s="16"/>
      <c r="P40" s="16"/>
      <c r="Q40" s="16"/>
      <c r="U40" s="38"/>
    </row>
    <row r="41" spans="5:21" ht="9.75" customHeight="1" x14ac:dyDescent="0.2">
      <c r="E41" s="5">
        <v>28</v>
      </c>
      <c r="F41" s="16"/>
      <c r="G41" s="71"/>
      <c r="H41" s="16"/>
      <c r="I41" s="71"/>
      <c r="J41" s="16"/>
      <c r="K41" s="16"/>
      <c r="L41" s="16"/>
      <c r="M41" s="16"/>
      <c r="N41" s="16"/>
      <c r="O41" s="16"/>
      <c r="P41" s="16"/>
      <c r="Q41" s="16"/>
      <c r="U41" s="38"/>
    </row>
    <row r="42" spans="5:21" ht="9.75" customHeight="1" x14ac:dyDescent="0.2">
      <c r="E42" s="5">
        <v>29</v>
      </c>
      <c r="F42" s="16"/>
      <c r="G42" s="16"/>
      <c r="H42" s="17"/>
      <c r="I42" s="71"/>
      <c r="J42" s="16"/>
      <c r="K42" s="16"/>
      <c r="L42" s="16"/>
      <c r="M42" s="16"/>
      <c r="N42" s="21"/>
      <c r="O42" s="16"/>
      <c r="P42" s="16"/>
      <c r="Q42" s="16"/>
      <c r="U42" s="38"/>
    </row>
    <row r="43" spans="5:21" ht="9.75" customHeight="1" x14ac:dyDescent="0.2">
      <c r="E43" s="5">
        <v>30</v>
      </c>
      <c r="F43" s="16"/>
      <c r="G43" s="16"/>
      <c r="H43" s="16"/>
      <c r="I43" s="16"/>
      <c r="J43" s="71"/>
      <c r="K43" s="16"/>
      <c r="L43" s="16"/>
      <c r="M43" s="16"/>
      <c r="N43" s="71"/>
      <c r="O43" s="16"/>
      <c r="P43" s="16"/>
      <c r="Q43" s="16"/>
      <c r="U43" s="38"/>
    </row>
    <row r="44" spans="5:21" ht="9.75" customHeight="1" x14ac:dyDescent="0.2">
      <c r="E44" s="5">
        <v>31</v>
      </c>
      <c r="F44" s="16"/>
      <c r="G44" s="16"/>
      <c r="H44" s="16"/>
      <c r="I44" s="16"/>
      <c r="J44" s="16"/>
      <c r="K44" s="16"/>
      <c r="L44" s="16"/>
      <c r="M44" s="71"/>
      <c r="N44" s="16"/>
      <c r="O44" s="16"/>
      <c r="P44" s="16"/>
      <c r="Q44" s="16"/>
      <c r="U44" s="38"/>
    </row>
    <row r="45" spans="5:21" x14ac:dyDescent="0.2">
      <c r="U45" s="38"/>
    </row>
    <row r="46" spans="5:21" x14ac:dyDescent="0.2">
      <c r="U46" s="38"/>
    </row>
    <row r="47" spans="5:21" x14ac:dyDescent="0.2">
      <c r="U47" s="38"/>
    </row>
    <row r="48" spans="5:21" x14ac:dyDescent="0.2">
      <c r="U48" s="38"/>
    </row>
    <row r="49" spans="21:21" x14ac:dyDescent="0.2">
      <c r="U49" s="38"/>
    </row>
    <row r="50" spans="21:21" x14ac:dyDescent="0.2">
      <c r="U50" s="38"/>
    </row>
    <row r="51" spans="21:21" x14ac:dyDescent="0.2">
      <c r="U51" s="38"/>
    </row>
    <row r="52" spans="21:21" x14ac:dyDescent="0.2">
      <c r="U52" s="38"/>
    </row>
    <row r="53" spans="21:21" x14ac:dyDescent="0.2">
      <c r="U53" s="38"/>
    </row>
    <row r="54" spans="21:21" x14ac:dyDescent="0.2">
      <c r="U54" s="38"/>
    </row>
    <row r="55" spans="21:21" x14ac:dyDescent="0.2">
      <c r="U55" s="38"/>
    </row>
    <row r="56" spans="21:21" x14ac:dyDescent="0.2">
      <c r="U56" s="38"/>
    </row>
    <row r="57" spans="21:21" x14ac:dyDescent="0.2">
      <c r="U57" s="38"/>
    </row>
    <row r="58" spans="21:21" x14ac:dyDescent="0.2">
      <c r="U58" s="38"/>
    </row>
    <row r="59" spans="21:21" x14ac:dyDescent="0.2">
      <c r="U59" s="38"/>
    </row>
    <row r="60" spans="21:21" x14ac:dyDescent="0.2">
      <c r="U60" s="38"/>
    </row>
    <row r="61" spans="21:21" x14ac:dyDescent="0.2">
      <c r="U61" s="38"/>
    </row>
    <row r="62" spans="21:21" x14ac:dyDescent="0.2">
      <c r="U62" s="38"/>
    </row>
    <row r="63" spans="21:21" x14ac:dyDescent="0.2">
      <c r="U63" s="38"/>
    </row>
    <row r="64" spans="21:21" x14ac:dyDescent="0.2">
      <c r="U64" s="38"/>
    </row>
    <row r="65" spans="20:21" x14ac:dyDescent="0.2">
      <c r="U65" s="38"/>
    </row>
    <row r="66" spans="20:21" x14ac:dyDescent="0.2">
      <c r="U66" s="38"/>
    </row>
    <row r="67" spans="20:21" x14ac:dyDescent="0.2">
      <c r="U67" s="38"/>
    </row>
    <row r="68" spans="20:21" x14ac:dyDescent="0.2">
      <c r="U68" s="38"/>
    </row>
    <row r="69" spans="20:21" x14ac:dyDescent="0.2">
      <c r="U69" s="38"/>
    </row>
    <row r="70" spans="20:21" x14ac:dyDescent="0.2">
      <c r="U70" s="38"/>
    </row>
    <row r="71" spans="20:21" x14ac:dyDescent="0.2">
      <c r="U71" s="38"/>
    </row>
    <row r="72" spans="20:21" x14ac:dyDescent="0.2">
      <c r="U72" s="38"/>
    </row>
    <row r="73" spans="20:21" x14ac:dyDescent="0.2">
      <c r="U73" s="38"/>
    </row>
    <row r="74" spans="20:21" x14ac:dyDescent="0.2">
      <c r="U74" s="38"/>
    </row>
    <row r="75" spans="20:21" x14ac:dyDescent="0.2">
      <c r="U75" s="38"/>
    </row>
    <row r="76" spans="20:21" x14ac:dyDescent="0.2">
      <c r="T76" s="39"/>
    </row>
    <row r="77" spans="20:21" x14ac:dyDescent="0.2">
      <c r="T77" s="39"/>
    </row>
    <row r="78" spans="20:21" x14ac:dyDescent="0.2">
      <c r="T78" s="39"/>
    </row>
    <row r="79" spans="20:21" x14ac:dyDescent="0.2">
      <c r="T79" s="39"/>
    </row>
    <row r="80" spans="20:21" x14ac:dyDescent="0.2">
      <c r="T80" s="39"/>
    </row>
    <row r="81" spans="20:20" x14ac:dyDescent="0.2">
      <c r="T81" s="39"/>
    </row>
    <row r="82" spans="20:20" x14ac:dyDescent="0.2">
      <c r="T82" s="39"/>
    </row>
    <row r="83" spans="20:20" x14ac:dyDescent="0.2">
      <c r="T83" s="39"/>
    </row>
    <row r="84" spans="20:20" x14ac:dyDescent="0.2">
      <c r="T84" s="39"/>
    </row>
    <row r="85" spans="20:20" x14ac:dyDescent="0.2">
      <c r="T85" s="39"/>
    </row>
    <row r="86" spans="20:20" x14ac:dyDescent="0.2">
      <c r="T86" s="39"/>
    </row>
    <row r="87" spans="20:20" x14ac:dyDescent="0.2">
      <c r="T87" s="39"/>
    </row>
    <row r="88" spans="20:20" x14ac:dyDescent="0.2">
      <c r="T88" s="39"/>
    </row>
    <row r="89" spans="20:20" x14ac:dyDescent="0.2">
      <c r="T89" s="39"/>
    </row>
    <row r="90" spans="20:20" x14ac:dyDescent="0.2">
      <c r="T90" s="39"/>
    </row>
    <row r="91" spans="20:20" x14ac:dyDescent="0.2">
      <c r="T91" s="39"/>
    </row>
    <row r="92" spans="20:20" x14ac:dyDescent="0.2">
      <c r="T92" s="39"/>
    </row>
    <row r="93" spans="20:20" x14ac:dyDescent="0.2">
      <c r="T93" s="39"/>
    </row>
    <row r="94" spans="20:20" x14ac:dyDescent="0.2">
      <c r="T94" s="39"/>
    </row>
    <row r="95" spans="20:20" x14ac:dyDescent="0.2">
      <c r="T95" s="39"/>
    </row>
    <row r="96" spans="20:20" x14ac:dyDescent="0.2">
      <c r="T96" s="39"/>
    </row>
    <row r="97" spans="20:20" x14ac:dyDescent="0.2">
      <c r="T97" s="39"/>
    </row>
    <row r="98" spans="20:20" x14ac:dyDescent="0.2">
      <c r="T98" s="39"/>
    </row>
    <row r="99" spans="20:20" x14ac:dyDescent="0.2">
      <c r="T99" s="39"/>
    </row>
    <row r="100" spans="20:20" x14ac:dyDescent="0.2">
      <c r="T100" s="39"/>
    </row>
    <row r="101" spans="20:20" x14ac:dyDescent="0.2">
      <c r="T101" s="39"/>
    </row>
    <row r="102" spans="20:20" x14ac:dyDescent="0.2">
      <c r="T102" s="39"/>
    </row>
    <row r="103" spans="20:20" x14ac:dyDescent="0.2">
      <c r="T103" s="39"/>
    </row>
    <row r="104" spans="20:20" x14ac:dyDescent="0.2">
      <c r="T104" s="39"/>
    </row>
    <row r="105" spans="20:20" x14ac:dyDescent="0.2">
      <c r="T105" s="39"/>
    </row>
    <row r="106" spans="20:20" x14ac:dyDescent="0.2">
      <c r="T106" s="39"/>
    </row>
    <row r="107" spans="20:20" x14ac:dyDescent="0.2">
      <c r="T107" s="39"/>
    </row>
    <row r="108" spans="20:20" x14ac:dyDescent="0.2">
      <c r="T108" s="39"/>
    </row>
    <row r="109" spans="20:20" x14ac:dyDescent="0.2">
      <c r="T109" s="39"/>
    </row>
    <row r="110" spans="20:20" x14ac:dyDescent="0.2">
      <c r="T110" s="39"/>
    </row>
    <row r="111" spans="20:20" x14ac:dyDescent="0.2">
      <c r="T111" s="39"/>
    </row>
    <row r="112" spans="20:20" x14ac:dyDescent="0.2">
      <c r="T112" s="39"/>
    </row>
    <row r="113" spans="20:20" x14ac:dyDescent="0.2">
      <c r="T113" s="39"/>
    </row>
    <row r="114" spans="20:20" x14ac:dyDescent="0.2">
      <c r="T114" s="39"/>
    </row>
    <row r="115" spans="20:20" x14ac:dyDescent="0.2">
      <c r="T115" s="39"/>
    </row>
    <row r="116" spans="20:20" x14ac:dyDescent="0.2">
      <c r="T116" s="39"/>
    </row>
    <row r="117" spans="20:20" x14ac:dyDescent="0.2">
      <c r="T117" s="39"/>
    </row>
    <row r="118" spans="20:20" x14ac:dyDescent="0.2">
      <c r="T118" s="39"/>
    </row>
    <row r="119" spans="20:20" x14ac:dyDescent="0.2">
      <c r="T119" s="39"/>
    </row>
    <row r="120" spans="20:20" x14ac:dyDescent="0.2">
      <c r="T120" s="39"/>
    </row>
    <row r="121" spans="20:20" x14ac:dyDescent="0.2">
      <c r="T121" s="39"/>
    </row>
    <row r="122" spans="20:20" x14ac:dyDescent="0.2">
      <c r="T122" s="39"/>
    </row>
    <row r="123" spans="20:20" x14ac:dyDescent="0.2">
      <c r="T123" s="39"/>
    </row>
    <row r="124" spans="20:20" x14ac:dyDescent="0.2">
      <c r="T124" s="39"/>
    </row>
    <row r="125" spans="20:20" x14ac:dyDescent="0.2">
      <c r="T125" s="39"/>
    </row>
    <row r="126" spans="20:20" x14ac:dyDescent="0.2">
      <c r="T126" s="39"/>
    </row>
    <row r="127" spans="20:20" x14ac:dyDescent="0.2">
      <c r="T127" s="39"/>
    </row>
    <row r="128" spans="20:20" x14ac:dyDescent="0.2">
      <c r="T128" s="39"/>
    </row>
    <row r="129" spans="20:20" x14ac:dyDescent="0.2">
      <c r="T129" s="39"/>
    </row>
  </sheetData>
  <sheetProtection formatCells="0"/>
  <mergeCells count="1">
    <mergeCell ref="T21:T22"/>
  </mergeCells>
  <phoneticPr fontId="1" type="noConversion"/>
  <pageMargins left="0.75" right="0.75" top="1" bottom="1" header="0.5" footer="0.5"/>
  <pageSetup orientation="portrait" horizontalDpi="4294967293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30" r:id="rId4" name="txtMonth">
          <controlPr defaultSize="0" autoLine="0" r:id="rId5">
            <anchor moveWithCells="1" sizeWithCells="1">
              <from>
                <xdr:col>2</xdr:col>
                <xdr:colOff>85725</xdr:colOff>
                <xdr:row>15</xdr:row>
                <xdr:rowOff>0</xdr:rowOff>
              </from>
              <to>
                <xdr:col>2</xdr:col>
                <xdr:colOff>361950</xdr:colOff>
                <xdr:row>16</xdr:row>
                <xdr:rowOff>104775</xdr:rowOff>
              </to>
            </anchor>
          </controlPr>
        </control>
      </mc:Choice>
      <mc:Fallback>
        <control shapeId="1030" r:id="rId4" name="txtMonth"/>
      </mc:Fallback>
    </mc:AlternateContent>
    <mc:AlternateContent xmlns:mc="http://schemas.openxmlformats.org/markup-compatibility/2006">
      <mc:Choice Requires="x14">
        <control shapeId="1032" r:id="rId6" name="txtDay">
          <controlPr defaultSize="0" autoLine="0" r:id="rId7">
            <anchor moveWithCells="1" sizeWithCells="1">
              <from>
                <xdr:col>2</xdr:col>
                <xdr:colOff>552450</xdr:colOff>
                <xdr:row>15</xdr:row>
                <xdr:rowOff>0</xdr:rowOff>
              </from>
              <to>
                <xdr:col>3</xdr:col>
                <xdr:colOff>219075</xdr:colOff>
                <xdr:row>16</xdr:row>
                <xdr:rowOff>104775</xdr:rowOff>
              </to>
            </anchor>
          </controlPr>
        </control>
      </mc:Choice>
      <mc:Fallback>
        <control shapeId="1032" r:id="rId6" name="txtDay"/>
      </mc:Fallback>
    </mc:AlternateContent>
    <mc:AlternateContent xmlns:mc="http://schemas.openxmlformats.org/markup-compatibility/2006">
      <mc:Choice Requires="x14">
        <control shapeId="1042" r:id="rId8" name="txtRuns">
          <controlPr defaultSize="0" autoLine="0" r:id="rId9">
            <anchor moveWithCells="1">
              <from>
                <xdr:col>2</xdr:col>
                <xdr:colOff>171450</xdr:colOff>
                <xdr:row>37</xdr:row>
                <xdr:rowOff>95250</xdr:rowOff>
              </from>
              <to>
                <xdr:col>3</xdr:col>
                <xdr:colOff>38100</xdr:colOff>
                <xdr:row>39</xdr:row>
                <xdr:rowOff>66675</xdr:rowOff>
              </to>
            </anchor>
          </controlPr>
        </control>
      </mc:Choice>
      <mc:Fallback>
        <control shapeId="1042" r:id="rId8" name="txtRuns"/>
      </mc:Fallback>
    </mc:AlternateContent>
    <mc:AlternateContent xmlns:mc="http://schemas.openxmlformats.org/markup-compatibility/2006">
      <mc:Choice Requires="x14">
        <control shapeId="1031" r:id="rId10" name="Group Box 7">
          <controlPr defaultSize="0" autoFill="0" autoPict="0">
            <anchor moveWithCells="1">
              <from>
                <xdr:col>1</xdr:col>
                <xdr:colOff>66675</xdr:colOff>
                <xdr:row>27</xdr:row>
                <xdr:rowOff>76200</xdr:rowOff>
              </from>
              <to>
                <xdr:col>4</xdr:col>
                <xdr:colOff>133350</xdr:colOff>
                <xdr:row>34</xdr:row>
                <xdr:rowOff>38100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9" r:id="rId11" name="Group Box 15">
          <controlPr defaultSize="0" autoFill="0" autoPict="0">
            <anchor moveWithCells="1" sizeWithCells="1">
              <from>
                <xdr:col>1</xdr:col>
                <xdr:colOff>76200</xdr:colOff>
                <xdr:row>13</xdr:row>
                <xdr:rowOff>0</xdr:rowOff>
              </from>
              <to>
                <xdr:col>4</xdr:col>
                <xdr:colOff>104775</xdr:colOff>
                <xdr:row>19</xdr:row>
                <xdr:rowOff>95250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0" r:id="rId12" name="Group Box 16">
          <controlPr defaultSize="0" autoFill="0" autoPict="0">
            <anchor moveWithCells="1">
              <from>
                <xdr:col>1</xdr:col>
                <xdr:colOff>57150</xdr:colOff>
                <xdr:row>35</xdr:row>
                <xdr:rowOff>38100</xdr:rowOff>
              </from>
              <to>
                <xdr:col>4</xdr:col>
                <xdr:colOff>114300</xdr:colOff>
                <xdr:row>45</xdr:row>
                <xdr:rowOff>133350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1" r:id="rId13" name="Label 17">
          <controlPr defaultSize="0" autoFill="0" autoLine="0" autoPict="0">
            <anchor moveWithCells="1" sizeWithCells="1">
              <from>
                <xdr:col>1</xdr:col>
                <xdr:colOff>66675</xdr:colOff>
                <xdr:row>36</xdr:row>
                <xdr:rowOff>9525</xdr:rowOff>
              </from>
              <to>
                <xdr:col>4</xdr:col>
                <xdr:colOff>142875</xdr:colOff>
                <xdr:row>37</xdr:row>
                <xdr:rowOff>76200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54" r:id="rId14" name="Group Box 30">
          <controlPr defaultSize="0" autoFill="0" autoPict="0">
            <anchor moveWithCells="1" sizeWithCells="1">
              <from>
                <xdr:col>1</xdr:col>
                <xdr:colOff>76200</xdr:colOff>
                <xdr:row>20</xdr:row>
                <xdr:rowOff>95250</xdr:rowOff>
              </from>
              <to>
                <xdr:col>4</xdr:col>
                <xdr:colOff>104775</xdr:colOff>
                <xdr:row>26</xdr:row>
                <xdr:rowOff>114300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63" r:id="rId15" name="Label 39">
          <controlPr defaultSize="0" autoFill="0" autoLine="0" autoPict="0">
            <anchor moveWithCells="1" sizeWithCells="1">
              <from>
                <xdr:col>1</xdr:col>
                <xdr:colOff>276225</xdr:colOff>
                <xdr:row>27</xdr:row>
                <xdr:rowOff>114300</xdr:rowOff>
              </from>
              <to>
                <xdr:col>3</xdr:col>
                <xdr:colOff>409575</xdr:colOff>
                <xdr:row>29</xdr:row>
                <xdr:rowOff>38100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64" r:id="rId16" name="Label 40">
          <controlPr defaultSize="0" autoFill="0" autoLine="0" autoPict="0">
            <anchor moveWithCells="1" sizeWithCells="1">
              <from>
                <xdr:col>2</xdr:col>
                <xdr:colOff>114300</xdr:colOff>
                <xdr:row>21</xdr:row>
                <xdr:rowOff>19050</xdr:rowOff>
              </from>
              <to>
                <xdr:col>3</xdr:col>
                <xdr:colOff>257175</xdr:colOff>
                <xdr:row>22</xdr:row>
                <xdr:rowOff>38100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322" r:id="rId17" name="Label 1226">
          <controlPr defaultSize="0" autoFill="0" autoLine="0" autoPict="0">
            <anchor moveWithCells="1" sizeWithCells="1">
              <from>
                <xdr:col>2</xdr:col>
                <xdr:colOff>85725</xdr:colOff>
                <xdr:row>13</xdr:row>
                <xdr:rowOff>85725</xdr:rowOff>
              </from>
              <to>
                <xdr:col>3</xdr:col>
                <xdr:colOff>228600</xdr:colOff>
                <xdr:row>14</xdr:row>
                <xdr:rowOff>114300</xdr:rowOff>
              </to>
            </anchor>
          </controlPr>
        </control>
      </mc:Choice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K377"/>
  <sheetViews>
    <sheetView showGridLines="0" showRowColHeaders="0" topLeftCell="B1" workbookViewId="0">
      <selection activeCell="H61" sqref="H61"/>
    </sheetView>
  </sheetViews>
  <sheetFormatPr defaultRowHeight="12.75" x14ac:dyDescent="0.2"/>
  <cols>
    <col min="1" max="1" width="8.7109375" style="6" hidden="1" customWidth="1"/>
    <col min="2" max="2" width="4.5703125" style="6" customWidth="1"/>
    <col min="3" max="3" width="10.140625" style="29" bestFit="1" customWidth="1"/>
    <col min="4" max="4" width="16.140625" style="6" bestFit="1" customWidth="1"/>
    <col min="5" max="5" width="7.5703125" style="6" customWidth="1"/>
    <col min="6" max="16384" width="9.140625" style="6"/>
  </cols>
  <sheetData>
    <row r="1" spans="1:11" ht="18" customHeight="1" x14ac:dyDescent="0.25">
      <c r="A1" s="8"/>
      <c r="B1" s="9"/>
    </row>
    <row r="2" spans="1:11" ht="11.25" customHeight="1" x14ac:dyDescent="0.2">
      <c r="A2" s="10"/>
      <c r="B2" s="11"/>
      <c r="C2" s="30"/>
    </row>
    <row r="3" spans="1:11" ht="11.25" customHeight="1" x14ac:dyDescent="0.2">
      <c r="A3" s="10"/>
      <c r="B3" s="11"/>
      <c r="C3" s="30"/>
    </row>
    <row r="4" spans="1:11" ht="11.25" customHeight="1" x14ac:dyDescent="0.2">
      <c r="A4" s="10"/>
      <c r="B4" s="11"/>
      <c r="C4" s="30"/>
    </row>
    <row r="5" spans="1:11" ht="10.5" customHeight="1" x14ac:dyDescent="0.2">
      <c r="A5" s="12"/>
      <c r="B5" s="12"/>
      <c r="C5" s="31"/>
    </row>
    <row r="6" spans="1:11" ht="10.5" customHeight="1" x14ac:dyDescent="0.2">
      <c r="A6" s="12"/>
      <c r="B6" s="12"/>
      <c r="C6" s="31"/>
    </row>
    <row r="7" spans="1:11" ht="10.5" customHeight="1" x14ac:dyDescent="0.2">
      <c r="A7" s="12"/>
      <c r="B7" s="12"/>
      <c r="C7" s="31"/>
    </row>
    <row r="8" spans="1:11" ht="11.25" customHeight="1" x14ac:dyDescent="0.2">
      <c r="A8" s="13"/>
      <c r="B8" s="14"/>
      <c r="C8" s="32"/>
    </row>
    <row r="9" spans="1:11" ht="11.25" customHeight="1" x14ac:dyDescent="0.2">
      <c r="A9" s="13"/>
      <c r="B9" s="14"/>
      <c r="C9" s="33" t="s">
        <v>28</v>
      </c>
      <c r="D9" s="24"/>
      <c r="E9" s="24"/>
      <c r="F9" s="24"/>
      <c r="G9" s="24"/>
      <c r="H9" s="24"/>
      <c r="I9" s="24"/>
      <c r="J9" s="24"/>
      <c r="K9" s="24"/>
    </row>
    <row r="10" spans="1:11" ht="11.25" customHeight="1" thickBot="1" x14ac:dyDescent="0.25"/>
    <row r="11" spans="1:11" ht="11.25" customHeight="1" x14ac:dyDescent="0.2">
      <c r="A11" s="13">
        <v>1</v>
      </c>
      <c r="C11" s="18" t="s">
        <v>16</v>
      </c>
      <c r="D11" s="18" t="s">
        <v>27</v>
      </c>
    </row>
    <row r="12" spans="1:11" ht="11.25" customHeight="1" x14ac:dyDescent="0.2">
      <c r="A12" s="13">
        <v>2</v>
      </c>
      <c r="C12" s="23">
        <v>1</v>
      </c>
      <c r="D12" s="26">
        <v>0</v>
      </c>
    </row>
    <row r="13" spans="1:11" ht="11.25" customHeight="1" x14ac:dyDescent="0.2">
      <c r="A13" s="13">
        <v>3</v>
      </c>
      <c r="C13" s="23">
        <v>2</v>
      </c>
      <c r="D13" s="26">
        <v>0</v>
      </c>
    </row>
    <row r="14" spans="1:11" ht="11.25" customHeight="1" x14ac:dyDescent="0.2">
      <c r="A14" s="13">
        <v>4</v>
      </c>
      <c r="C14" s="23">
        <v>3</v>
      </c>
      <c r="D14" s="26">
        <v>0</v>
      </c>
    </row>
    <row r="15" spans="1:11" ht="11.25" customHeight="1" x14ac:dyDescent="0.2">
      <c r="A15" s="13">
        <v>5</v>
      </c>
      <c r="C15" s="23">
        <v>4</v>
      </c>
      <c r="D15" s="26">
        <v>0</v>
      </c>
    </row>
    <row r="16" spans="1:11" ht="11.25" customHeight="1" x14ac:dyDescent="0.2">
      <c r="A16" s="13">
        <v>6</v>
      </c>
      <c r="C16" s="23">
        <v>5</v>
      </c>
      <c r="D16" s="26">
        <v>0.06</v>
      </c>
    </row>
    <row r="17" spans="1:4" ht="11.25" customHeight="1" x14ac:dyDescent="0.2">
      <c r="A17" s="13">
        <v>7</v>
      </c>
      <c r="C17" s="23">
        <v>6</v>
      </c>
      <c r="D17" s="26">
        <v>0.06</v>
      </c>
    </row>
    <row r="18" spans="1:4" ht="11.25" customHeight="1" x14ac:dyDescent="0.2">
      <c r="A18" s="13">
        <v>8</v>
      </c>
      <c r="C18" s="23">
        <v>7</v>
      </c>
      <c r="D18" s="26">
        <v>0.04</v>
      </c>
    </row>
    <row r="19" spans="1:4" ht="11.25" customHeight="1" x14ac:dyDescent="0.2">
      <c r="A19" s="13">
        <v>9</v>
      </c>
      <c r="C19" s="23">
        <v>8</v>
      </c>
      <c r="D19" s="26">
        <v>7.0000000000000007E-2</v>
      </c>
    </row>
    <row r="20" spans="1:4" ht="11.25" customHeight="1" x14ac:dyDescent="0.2">
      <c r="A20" s="13">
        <v>10</v>
      </c>
      <c r="C20" s="23">
        <v>9</v>
      </c>
      <c r="D20" s="26">
        <v>0.06</v>
      </c>
    </row>
    <row r="21" spans="1:4" ht="11.25" customHeight="1" x14ac:dyDescent="0.2">
      <c r="A21" s="13">
        <v>11</v>
      </c>
      <c r="C21" s="23">
        <v>10</v>
      </c>
      <c r="D21" s="26">
        <v>0.06</v>
      </c>
    </row>
    <row r="22" spans="1:4" ht="11.25" customHeight="1" x14ac:dyDescent="0.2">
      <c r="A22" s="13">
        <v>12</v>
      </c>
      <c r="C22" s="23">
        <v>11</v>
      </c>
      <c r="D22" s="26">
        <v>0.12</v>
      </c>
    </row>
    <row r="23" spans="1:4" ht="11.25" customHeight="1" x14ac:dyDescent="0.2">
      <c r="A23" s="13">
        <v>13</v>
      </c>
      <c r="C23" s="23">
        <v>12</v>
      </c>
      <c r="D23" s="26">
        <v>0.17</v>
      </c>
    </row>
    <row r="24" spans="1:4" ht="11.25" customHeight="1" x14ac:dyDescent="0.2">
      <c r="A24" s="13">
        <v>14</v>
      </c>
      <c r="C24" s="23">
        <v>13</v>
      </c>
      <c r="D24" s="26">
        <v>0.2</v>
      </c>
    </row>
    <row r="25" spans="1:4" ht="11.25" customHeight="1" x14ac:dyDescent="0.2">
      <c r="A25" s="13">
        <v>15</v>
      </c>
      <c r="C25" s="23">
        <v>14</v>
      </c>
      <c r="D25" s="26">
        <v>0.24</v>
      </c>
    </row>
    <row r="26" spans="1:4" ht="10.5" customHeight="1" x14ac:dyDescent="0.2">
      <c r="A26" s="13">
        <v>16</v>
      </c>
      <c r="C26" s="23">
        <v>15</v>
      </c>
      <c r="D26" s="26">
        <v>0.21</v>
      </c>
    </row>
    <row r="27" spans="1:4" ht="11.25" customHeight="1" x14ac:dyDescent="0.2">
      <c r="A27" s="13">
        <v>17</v>
      </c>
      <c r="C27" s="23">
        <v>16</v>
      </c>
      <c r="D27" s="26">
        <v>0.33</v>
      </c>
    </row>
    <row r="28" spans="1:4" ht="11.25" customHeight="1" x14ac:dyDescent="0.2">
      <c r="A28" s="13">
        <v>18</v>
      </c>
      <c r="C28" s="23">
        <v>17</v>
      </c>
      <c r="D28" s="26">
        <v>0.31</v>
      </c>
    </row>
    <row r="29" spans="1:4" ht="11.25" customHeight="1" x14ac:dyDescent="0.2">
      <c r="A29" s="13">
        <v>19</v>
      </c>
      <c r="C29" s="23">
        <v>18</v>
      </c>
      <c r="D29" s="26">
        <v>0.4</v>
      </c>
    </row>
    <row r="30" spans="1:4" ht="11.25" customHeight="1" x14ac:dyDescent="0.2">
      <c r="A30" s="13">
        <v>20</v>
      </c>
      <c r="C30" s="23">
        <v>19</v>
      </c>
      <c r="D30" s="26">
        <v>0.35</v>
      </c>
    </row>
    <row r="31" spans="1:4" ht="11.25" customHeight="1" x14ac:dyDescent="0.2">
      <c r="A31" s="13">
        <v>21</v>
      </c>
      <c r="C31" s="23">
        <v>20</v>
      </c>
      <c r="D31" s="26">
        <v>0.41</v>
      </c>
    </row>
    <row r="32" spans="1:4" ht="11.25" customHeight="1" x14ac:dyDescent="0.2">
      <c r="A32" s="13">
        <v>22</v>
      </c>
      <c r="C32" s="23">
        <v>21</v>
      </c>
      <c r="D32" s="26">
        <v>0.45</v>
      </c>
    </row>
    <row r="33" spans="1:4" ht="11.25" customHeight="1" x14ac:dyDescent="0.2">
      <c r="A33" s="13">
        <v>23</v>
      </c>
      <c r="C33" s="23">
        <v>22</v>
      </c>
      <c r="D33" s="26">
        <v>0.56000000000000005</v>
      </c>
    </row>
    <row r="34" spans="1:4" ht="11.25" customHeight="1" x14ac:dyDescent="0.2">
      <c r="A34" s="13">
        <v>24</v>
      </c>
      <c r="C34" s="23">
        <v>23</v>
      </c>
      <c r="D34" s="26">
        <v>0.51</v>
      </c>
    </row>
    <row r="35" spans="1:4" ht="11.25" customHeight="1" x14ac:dyDescent="0.2">
      <c r="A35" s="13">
        <v>25</v>
      </c>
      <c r="C35" s="23">
        <v>24</v>
      </c>
      <c r="D35" s="26">
        <v>0.5</v>
      </c>
    </row>
    <row r="36" spans="1:4" ht="11.25" customHeight="1" x14ac:dyDescent="0.2">
      <c r="A36" s="13">
        <v>26</v>
      </c>
      <c r="C36" s="23">
        <v>25</v>
      </c>
      <c r="D36" s="26">
        <v>0.6</v>
      </c>
    </row>
    <row r="37" spans="1:4" ht="11.25" customHeight="1" x14ac:dyDescent="0.2">
      <c r="A37" s="13">
        <v>27</v>
      </c>
      <c r="C37" s="23">
        <v>26</v>
      </c>
      <c r="D37" s="26">
        <v>0.67</v>
      </c>
    </row>
    <row r="38" spans="1:4" ht="11.25" customHeight="1" x14ac:dyDescent="0.2">
      <c r="A38" s="13">
        <v>28</v>
      </c>
      <c r="C38" s="23">
        <v>27</v>
      </c>
      <c r="D38" s="26">
        <v>0.64</v>
      </c>
    </row>
    <row r="39" spans="1:4" ht="11.25" customHeight="1" x14ac:dyDescent="0.2">
      <c r="A39" s="13">
        <v>29</v>
      </c>
      <c r="C39" s="23">
        <v>28</v>
      </c>
      <c r="D39" s="26">
        <v>0.6</v>
      </c>
    </row>
    <row r="40" spans="1:4" ht="11.25" customHeight="1" x14ac:dyDescent="0.2">
      <c r="A40" s="13">
        <v>30</v>
      </c>
      <c r="C40" s="23">
        <v>29</v>
      </c>
      <c r="D40" s="26">
        <v>0.65</v>
      </c>
    </row>
    <row r="41" spans="1:4" ht="11.25" customHeight="1" x14ac:dyDescent="0.2">
      <c r="A41" s="13">
        <v>31</v>
      </c>
      <c r="C41" s="23">
        <v>30</v>
      </c>
      <c r="D41" s="26">
        <v>0.71</v>
      </c>
    </row>
    <row r="42" spans="1:4" ht="11.25" customHeight="1" x14ac:dyDescent="0.2">
      <c r="A42" s="13">
        <v>32</v>
      </c>
      <c r="C42" s="23">
        <v>31</v>
      </c>
      <c r="D42" s="26">
        <v>0.68</v>
      </c>
    </row>
    <row r="43" spans="1:4" ht="11.25" customHeight="1" x14ac:dyDescent="0.2">
      <c r="A43" s="13">
        <v>33</v>
      </c>
      <c r="C43" s="23">
        <v>32</v>
      </c>
      <c r="D43" s="26">
        <v>0.69</v>
      </c>
    </row>
    <row r="44" spans="1:4" ht="11.25" customHeight="1" x14ac:dyDescent="0.2">
      <c r="A44" s="13">
        <v>34</v>
      </c>
      <c r="C44" s="23">
        <v>33</v>
      </c>
      <c r="D44" s="26">
        <v>0.82</v>
      </c>
    </row>
    <row r="45" spans="1:4" ht="11.25" customHeight="1" x14ac:dyDescent="0.2">
      <c r="A45" s="13">
        <v>35</v>
      </c>
      <c r="C45" s="23">
        <v>34</v>
      </c>
      <c r="D45" s="26">
        <v>0.72</v>
      </c>
    </row>
    <row r="46" spans="1:4" ht="11.25" customHeight="1" x14ac:dyDescent="0.2">
      <c r="A46" s="13">
        <v>36</v>
      </c>
      <c r="C46" s="23">
        <v>35</v>
      </c>
      <c r="D46" s="26">
        <v>0.81</v>
      </c>
    </row>
    <row r="47" spans="1:4" ht="11.25" customHeight="1" x14ac:dyDescent="0.2">
      <c r="A47" s="13">
        <v>37</v>
      </c>
      <c r="C47" s="23">
        <v>36</v>
      </c>
      <c r="D47" s="26">
        <v>0.85</v>
      </c>
    </row>
    <row r="48" spans="1:4" ht="11.25" customHeight="1" x14ac:dyDescent="0.2">
      <c r="A48" s="13">
        <v>38</v>
      </c>
      <c r="C48" s="23">
        <v>37</v>
      </c>
      <c r="D48" s="26">
        <v>0.89</v>
      </c>
    </row>
    <row r="49" spans="1:5" ht="11.25" customHeight="1" x14ac:dyDescent="0.2">
      <c r="A49" s="13">
        <v>39</v>
      </c>
      <c r="C49" s="23">
        <v>38</v>
      </c>
      <c r="D49" s="26">
        <v>0.86</v>
      </c>
    </row>
    <row r="50" spans="1:5" ht="11.25" customHeight="1" x14ac:dyDescent="0.2">
      <c r="A50" s="13">
        <v>40</v>
      </c>
      <c r="C50" s="23">
        <v>39</v>
      </c>
      <c r="D50" s="26">
        <v>0.88</v>
      </c>
    </row>
    <row r="51" spans="1:5" ht="11.25" customHeight="1" x14ac:dyDescent="0.2">
      <c r="A51" s="13">
        <v>41</v>
      </c>
      <c r="C51" s="23">
        <v>40</v>
      </c>
      <c r="D51" s="26">
        <v>0.9</v>
      </c>
    </row>
    <row r="52" spans="1:5" ht="11.25" customHeight="1" x14ac:dyDescent="0.2">
      <c r="A52" s="13">
        <v>42</v>
      </c>
      <c r="C52" s="23">
        <v>41</v>
      </c>
      <c r="D52" s="26">
        <v>0.91</v>
      </c>
    </row>
    <row r="53" spans="1:5" ht="11.25" customHeight="1" x14ac:dyDescent="0.2">
      <c r="A53" s="13">
        <v>43</v>
      </c>
      <c r="C53" s="23">
        <v>42</v>
      </c>
      <c r="D53" s="26">
        <v>0.91</v>
      </c>
    </row>
    <row r="54" spans="1:5" ht="11.25" customHeight="1" x14ac:dyDescent="0.2">
      <c r="A54" s="13">
        <v>44</v>
      </c>
      <c r="C54" s="23">
        <v>43</v>
      </c>
      <c r="D54" s="26">
        <v>0.96</v>
      </c>
    </row>
    <row r="55" spans="1:5" ht="11.25" customHeight="1" x14ac:dyDescent="0.2">
      <c r="A55" s="13">
        <v>45</v>
      </c>
      <c r="C55" s="23">
        <v>44</v>
      </c>
      <c r="D55" s="26">
        <v>0.97</v>
      </c>
    </row>
    <row r="56" spans="1:5" ht="11.25" customHeight="1" x14ac:dyDescent="0.2">
      <c r="A56" s="13">
        <v>46</v>
      </c>
      <c r="C56" s="23">
        <v>45</v>
      </c>
      <c r="D56" s="26">
        <v>0.97</v>
      </c>
    </row>
    <row r="57" spans="1:5" ht="11.25" customHeight="1" x14ac:dyDescent="0.2">
      <c r="A57" s="13">
        <v>47</v>
      </c>
      <c r="C57" s="23">
        <v>46</v>
      </c>
      <c r="D57" s="26">
        <v>0.96</v>
      </c>
    </row>
    <row r="58" spans="1:5" ht="11.25" customHeight="1" x14ac:dyDescent="0.2">
      <c r="A58" s="13">
        <v>48</v>
      </c>
      <c r="C58" s="23">
        <v>47</v>
      </c>
      <c r="D58" s="26">
        <v>0.97</v>
      </c>
    </row>
    <row r="59" spans="1:5" ht="11.25" customHeight="1" x14ac:dyDescent="0.2">
      <c r="A59" s="13">
        <v>49</v>
      </c>
      <c r="C59" s="23">
        <v>48</v>
      </c>
      <c r="D59" s="26">
        <v>0.97</v>
      </c>
    </row>
    <row r="60" spans="1:5" ht="11.25" customHeight="1" x14ac:dyDescent="0.2">
      <c r="A60" s="13">
        <v>50</v>
      </c>
      <c r="C60" s="23">
        <v>49</v>
      </c>
      <c r="D60" s="26">
        <v>0.98</v>
      </c>
    </row>
    <row r="61" spans="1:5" ht="11.25" customHeight="1" x14ac:dyDescent="0.2">
      <c r="C61" s="23">
        <v>50</v>
      </c>
      <c r="D61" s="26">
        <v>0.98</v>
      </c>
    </row>
    <row r="62" spans="1:5" ht="11.25" customHeight="1" thickBot="1" x14ac:dyDescent="0.25">
      <c r="A62" s="13"/>
      <c r="C62" s="22" t="s">
        <v>12</v>
      </c>
      <c r="D62" s="27">
        <v>1</v>
      </c>
      <c r="E62" s="2"/>
    </row>
    <row r="63" spans="1:5" ht="11.25" customHeight="1" x14ac:dyDescent="0.2">
      <c r="A63" s="13"/>
      <c r="B63" s="19"/>
      <c r="C63" s="34"/>
      <c r="D63" s="20"/>
      <c r="E63" s="2"/>
    </row>
    <row r="64" spans="1:5" ht="11.25" customHeight="1" x14ac:dyDescent="0.2">
      <c r="A64" s="13"/>
      <c r="B64" s="19"/>
      <c r="C64" s="34"/>
      <c r="D64" s="20"/>
      <c r="E64" s="2"/>
    </row>
    <row r="65" spans="1:5" ht="11.25" customHeight="1" x14ac:dyDescent="0.2">
      <c r="A65" s="13"/>
      <c r="B65" s="19"/>
      <c r="C65" s="34"/>
      <c r="D65" s="20"/>
      <c r="E65" s="2"/>
    </row>
    <row r="66" spans="1:5" ht="11.25" customHeight="1" x14ac:dyDescent="0.2">
      <c r="A66" s="13"/>
      <c r="B66" s="19"/>
      <c r="C66" s="34"/>
      <c r="D66" s="20"/>
      <c r="E66" s="2"/>
    </row>
    <row r="67" spans="1:5" x14ac:dyDescent="0.2">
      <c r="A67" s="13"/>
      <c r="B67" s="19"/>
      <c r="C67" s="34"/>
      <c r="D67" s="20"/>
      <c r="E67" s="2"/>
    </row>
    <row r="68" spans="1:5" x14ac:dyDescent="0.2">
      <c r="A68" s="13"/>
      <c r="B68" s="19"/>
      <c r="C68" s="34"/>
      <c r="D68" s="20"/>
      <c r="E68" s="2"/>
    </row>
    <row r="69" spans="1:5" x14ac:dyDescent="0.2">
      <c r="A69" s="13"/>
      <c r="B69" s="19"/>
      <c r="C69" s="34"/>
      <c r="D69" s="20"/>
      <c r="E69" s="2"/>
    </row>
    <row r="70" spans="1:5" x14ac:dyDescent="0.2">
      <c r="A70" s="13"/>
      <c r="B70" s="19"/>
      <c r="C70" s="34"/>
      <c r="D70" s="20"/>
      <c r="E70" s="2"/>
    </row>
    <row r="71" spans="1:5" x14ac:dyDescent="0.2">
      <c r="A71" s="13"/>
      <c r="B71" s="19"/>
      <c r="C71" s="34"/>
      <c r="D71" s="20"/>
      <c r="E71" s="2"/>
    </row>
    <row r="72" spans="1:5" x14ac:dyDescent="0.2">
      <c r="A72" s="13"/>
      <c r="B72" s="19"/>
      <c r="C72" s="34"/>
      <c r="D72" s="20"/>
      <c r="E72" s="2"/>
    </row>
    <row r="73" spans="1:5" x14ac:dyDescent="0.2">
      <c r="A73" s="13"/>
      <c r="B73" s="19"/>
      <c r="C73" s="34"/>
      <c r="D73" s="20"/>
      <c r="E73" s="2"/>
    </row>
    <row r="74" spans="1:5" x14ac:dyDescent="0.2">
      <c r="A74" s="13"/>
      <c r="B74" s="19"/>
      <c r="C74" s="34"/>
      <c r="D74" s="20"/>
      <c r="E74" s="2"/>
    </row>
    <row r="75" spans="1:5" x14ac:dyDescent="0.2">
      <c r="A75" s="13"/>
      <c r="B75" s="19"/>
      <c r="C75" s="34"/>
      <c r="D75" s="20"/>
      <c r="E75" s="2"/>
    </row>
    <row r="76" spans="1:5" x14ac:dyDescent="0.2">
      <c r="A76" s="13"/>
      <c r="B76" s="19"/>
      <c r="C76" s="34"/>
      <c r="D76" s="20"/>
      <c r="E76" s="2"/>
    </row>
    <row r="77" spans="1:5" x14ac:dyDescent="0.2">
      <c r="A77" s="13"/>
      <c r="B77" s="19"/>
      <c r="C77" s="34"/>
      <c r="D77" s="20"/>
      <c r="E77" s="2"/>
    </row>
    <row r="78" spans="1:5" x14ac:dyDescent="0.2">
      <c r="A78" s="13"/>
      <c r="B78" s="19"/>
      <c r="C78" s="34"/>
      <c r="D78" s="20"/>
      <c r="E78" s="2"/>
    </row>
    <row r="79" spans="1:5" x14ac:dyDescent="0.2">
      <c r="A79" s="13"/>
      <c r="B79" s="19"/>
      <c r="C79" s="34"/>
      <c r="D79" s="20"/>
      <c r="E79" s="2"/>
    </row>
    <row r="80" spans="1:5" x14ac:dyDescent="0.2">
      <c r="A80" s="13"/>
      <c r="B80" s="19"/>
      <c r="C80" s="34"/>
      <c r="D80" s="20"/>
      <c r="E80" s="2"/>
    </row>
    <row r="81" spans="1:5" x14ac:dyDescent="0.2">
      <c r="A81" s="13"/>
      <c r="B81" s="19"/>
      <c r="C81" s="34"/>
      <c r="D81" s="20"/>
      <c r="E81" s="2"/>
    </row>
    <row r="82" spans="1:5" x14ac:dyDescent="0.2">
      <c r="A82" s="13"/>
      <c r="B82" s="19"/>
      <c r="C82" s="34"/>
      <c r="D82" s="20"/>
      <c r="E82" s="2"/>
    </row>
    <row r="83" spans="1:5" x14ac:dyDescent="0.2">
      <c r="A83" s="13"/>
      <c r="B83" s="19"/>
      <c r="C83" s="34"/>
      <c r="D83" s="20"/>
      <c r="E83" s="2"/>
    </row>
    <row r="84" spans="1:5" x14ac:dyDescent="0.2">
      <c r="A84" s="13"/>
      <c r="B84" s="19"/>
      <c r="C84" s="34"/>
      <c r="D84" s="20"/>
      <c r="E84" s="2"/>
    </row>
    <row r="85" spans="1:5" x14ac:dyDescent="0.2">
      <c r="A85" s="13"/>
      <c r="B85" s="19"/>
      <c r="C85" s="34"/>
      <c r="D85" s="20"/>
      <c r="E85" s="2"/>
    </row>
    <row r="86" spans="1:5" x14ac:dyDescent="0.2">
      <c r="A86" s="13"/>
      <c r="B86" s="19"/>
      <c r="C86" s="34"/>
      <c r="D86" s="20"/>
      <c r="E86" s="2"/>
    </row>
    <row r="87" spans="1:5" x14ac:dyDescent="0.2">
      <c r="A87" s="13"/>
      <c r="B87" s="19"/>
      <c r="C87" s="34"/>
      <c r="D87" s="20"/>
      <c r="E87" s="2"/>
    </row>
    <row r="88" spans="1:5" x14ac:dyDescent="0.2">
      <c r="A88" s="13"/>
      <c r="B88" s="19"/>
      <c r="C88" s="34"/>
      <c r="D88" s="20"/>
      <c r="E88" s="2"/>
    </row>
    <row r="89" spans="1:5" x14ac:dyDescent="0.2">
      <c r="A89" s="13"/>
      <c r="B89" s="19"/>
      <c r="C89" s="34"/>
      <c r="D89" s="20"/>
      <c r="E89" s="2"/>
    </row>
    <row r="90" spans="1:5" x14ac:dyDescent="0.2">
      <c r="A90" s="13"/>
      <c r="B90" s="19"/>
      <c r="C90" s="34"/>
      <c r="D90" s="20"/>
      <c r="E90" s="2"/>
    </row>
    <row r="91" spans="1:5" x14ac:dyDescent="0.2">
      <c r="A91" s="13"/>
      <c r="B91" s="19"/>
      <c r="C91" s="34"/>
      <c r="D91" s="20"/>
      <c r="E91" s="2"/>
    </row>
    <row r="92" spans="1:5" x14ac:dyDescent="0.2">
      <c r="A92" s="13"/>
      <c r="B92" s="19"/>
      <c r="C92" s="34"/>
      <c r="D92" s="20"/>
      <c r="E92" s="2"/>
    </row>
    <row r="93" spans="1:5" x14ac:dyDescent="0.2">
      <c r="A93" s="13"/>
      <c r="B93" s="19"/>
      <c r="C93" s="34"/>
      <c r="D93" s="20"/>
      <c r="E93" s="2"/>
    </row>
    <row r="94" spans="1:5" x14ac:dyDescent="0.2">
      <c r="A94" s="13"/>
      <c r="B94" s="19"/>
      <c r="C94" s="34"/>
      <c r="D94" s="20"/>
      <c r="E94" s="2"/>
    </row>
    <row r="95" spans="1:5" x14ac:dyDescent="0.2">
      <c r="A95" s="13"/>
      <c r="B95" s="19"/>
      <c r="C95" s="34"/>
      <c r="D95" s="20"/>
      <c r="E95" s="2"/>
    </row>
    <row r="96" spans="1:5" x14ac:dyDescent="0.2">
      <c r="A96" s="13"/>
      <c r="B96" s="19"/>
      <c r="C96" s="34"/>
      <c r="D96" s="20"/>
      <c r="E96" s="2"/>
    </row>
    <row r="97" spans="1:5" x14ac:dyDescent="0.2">
      <c r="A97" s="13"/>
      <c r="B97" s="19"/>
      <c r="C97" s="34"/>
      <c r="D97" s="20"/>
      <c r="E97" s="2"/>
    </row>
    <row r="98" spans="1:5" x14ac:dyDescent="0.2">
      <c r="A98" s="13"/>
      <c r="B98" s="19"/>
      <c r="C98" s="34"/>
      <c r="D98" s="20"/>
      <c r="E98" s="2"/>
    </row>
    <row r="99" spans="1:5" x14ac:dyDescent="0.2">
      <c r="A99" s="13"/>
      <c r="B99" s="19"/>
      <c r="C99" s="34"/>
      <c r="D99" s="20"/>
      <c r="E99" s="2"/>
    </row>
    <row r="100" spans="1:5" x14ac:dyDescent="0.2">
      <c r="A100" s="13"/>
      <c r="B100" s="19"/>
      <c r="C100" s="34"/>
      <c r="D100" s="20"/>
      <c r="E100" s="2"/>
    </row>
    <row r="101" spans="1:5" x14ac:dyDescent="0.2">
      <c r="A101" s="13"/>
      <c r="B101" s="19"/>
      <c r="C101" s="34"/>
      <c r="D101" s="20"/>
      <c r="E101" s="2"/>
    </row>
    <row r="102" spans="1:5" x14ac:dyDescent="0.2">
      <c r="A102" s="13"/>
      <c r="B102" s="19"/>
      <c r="C102" s="34"/>
      <c r="D102" s="20"/>
      <c r="E102" s="2"/>
    </row>
    <row r="103" spans="1:5" x14ac:dyDescent="0.2">
      <c r="A103" s="13"/>
      <c r="B103" s="19"/>
      <c r="C103" s="34"/>
      <c r="D103" s="20"/>
      <c r="E103" s="2"/>
    </row>
    <row r="104" spans="1:5" x14ac:dyDescent="0.2">
      <c r="A104" s="13"/>
      <c r="B104" s="19"/>
      <c r="C104" s="34"/>
      <c r="D104" s="20"/>
      <c r="E104" s="2"/>
    </row>
    <row r="105" spans="1:5" x14ac:dyDescent="0.2">
      <c r="A105" s="13"/>
      <c r="B105" s="19"/>
      <c r="C105" s="34"/>
      <c r="D105" s="20"/>
      <c r="E105" s="2"/>
    </row>
    <row r="106" spans="1:5" x14ac:dyDescent="0.2">
      <c r="A106" s="13"/>
      <c r="B106" s="19"/>
      <c r="C106" s="34"/>
      <c r="D106" s="20"/>
      <c r="E106" s="2"/>
    </row>
    <row r="107" spans="1:5" x14ac:dyDescent="0.2">
      <c r="A107" s="13"/>
      <c r="B107" s="19"/>
      <c r="C107" s="34"/>
      <c r="D107" s="20"/>
      <c r="E107" s="2"/>
    </row>
    <row r="108" spans="1:5" x14ac:dyDescent="0.2">
      <c r="A108" s="13"/>
      <c r="B108" s="19"/>
      <c r="C108" s="34"/>
      <c r="D108" s="20"/>
      <c r="E108" s="2"/>
    </row>
    <row r="109" spans="1:5" x14ac:dyDescent="0.2">
      <c r="A109" s="13"/>
      <c r="B109" s="19"/>
      <c r="C109" s="34"/>
      <c r="D109" s="20"/>
      <c r="E109" s="2"/>
    </row>
    <row r="110" spans="1:5" x14ac:dyDescent="0.2">
      <c r="A110" s="13"/>
      <c r="B110" s="19"/>
      <c r="C110" s="34"/>
      <c r="D110" s="20"/>
      <c r="E110" s="2"/>
    </row>
    <row r="111" spans="1:5" x14ac:dyDescent="0.2">
      <c r="A111" s="13"/>
      <c r="B111" s="19"/>
      <c r="C111" s="34"/>
      <c r="D111" s="20"/>
      <c r="E111" s="2"/>
    </row>
    <row r="112" spans="1:5" x14ac:dyDescent="0.2">
      <c r="A112" s="13"/>
      <c r="B112" s="19"/>
      <c r="C112" s="34"/>
      <c r="D112" s="20"/>
      <c r="E112" s="2"/>
    </row>
    <row r="113" spans="1:5" x14ac:dyDescent="0.2">
      <c r="A113" s="13"/>
      <c r="B113" s="19"/>
      <c r="C113" s="34"/>
      <c r="D113" s="20"/>
      <c r="E113" s="2"/>
    </row>
    <row r="114" spans="1:5" x14ac:dyDescent="0.2">
      <c r="A114" s="13"/>
      <c r="B114" s="19"/>
      <c r="C114" s="34"/>
      <c r="D114" s="20"/>
      <c r="E114" s="2"/>
    </row>
    <row r="115" spans="1:5" x14ac:dyDescent="0.2">
      <c r="A115" s="13"/>
      <c r="B115" s="19"/>
      <c r="C115" s="34"/>
      <c r="D115" s="20"/>
      <c r="E115" s="2"/>
    </row>
    <row r="116" spans="1:5" x14ac:dyDescent="0.2">
      <c r="A116" s="13"/>
      <c r="B116" s="19"/>
      <c r="C116" s="34"/>
      <c r="D116" s="20"/>
      <c r="E116" s="2"/>
    </row>
    <row r="117" spans="1:5" x14ac:dyDescent="0.2">
      <c r="A117" s="13"/>
      <c r="B117" s="19"/>
      <c r="C117" s="34"/>
      <c r="D117" s="20"/>
      <c r="E117" s="2"/>
    </row>
    <row r="118" spans="1:5" x14ac:dyDescent="0.2">
      <c r="A118" s="13"/>
      <c r="B118" s="19"/>
      <c r="C118" s="34"/>
      <c r="D118" s="20"/>
      <c r="E118" s="2"/>
    </row>
    <row r="119" spans="1:5" x14ac:dyDescent="0.2">
      <c r="A119" s="13"/>
      <c r="B119" s="19"/>
      <c r="C119" s="34"/>
      <c r="D119" s="20"/>
      <c r="E119" s="2"/>
    </row>
    <row r="120" spans="1:5" x14ac:dyDescent="0.2">
      <c r="A120" s="13"/>
      <c r="B120" s="19"/>
      <c r="C120" s="34"/>
      <c r="D120" s="20"/>
      <c r="E120" s="2"/>
    </row>
    <row r="121" spans="1:5" x14ac:dyDescent="0.2">
      <c r="A121" s="13"/>
      <c r="B121" s="19"/>
      <c r="C121" s="34"/>
      <c r="D121" s="20"/>
      <c r="E121" s="2"/>
    </row>
    <row r="122" spans="1:5" x14ac:dyDescent="0.2">
      <c r="A122" s="13"/>
      <c r="B122" s="19"/>
      <c r="C122" s="34"/>
      <c r="D122" s="20"/>
      <c r="E122" s="2"/>
    </row>
    <row r="123" spans="1:5" x14ac:dyDescent="0.2">
      <c r="A123" s="13"/>
      <c r="B123" s="19"/>
      <c r="C123" s="34"/>
      <c r="D123" s="20"/>
      <c r="E123" s="2"/>
    </row>
    <row r="124" spans="1:5" x14ac:dyDescent="0.2">
      <c r="A124" s="13"/>
      <c r="B124" s="19"/>
      <c r="C124" s="34"/>
      <c r="D124" s="20"/>
      <c r="E124" s="2"/>
    </row>
    <row r="125" spans="1:5" x14ac:dyDescent="0.2">
      <c r="A125" s="13"/>
      <c r="B125" s="19"/>
      <c r="C125" s="34"/>
      <c r="D125" s="20"/>
      <c r="E125" s="2"/>
    </row>
    <row r="126" spans="1:5" x14ac:dyDescent="0.2">
      <c r="A126" s="13"/>
      <c r="B126" s="19"/>
      <c r="C126" s="34"/>
      <c r="D126" s="20"/>
      <c r="E126" s="2"/>
    </row>
    <row r="127" spans="1:5" x14ac:dyDescent="0.2">
      <c r="A127" s="13"/>
      <c r="B127" s="19"/>
      <c r="C127" s="34"/>
      <c r="D127" s="20"/>
      <c r="E127" s="2"/>
    </row>
    <row r="128" spans="1:5" x14ac:dyDescent="0.2">
      <c r="A128" s="13"/>
      <c r="B128" s="19"/>
      <c r="C128" s="34"/>
      <c r="D128" s="20"/>
      <c r="E128" s="2"/>
    </row>
    <row r="129" spans="1:5" x14ac:dyDescent="0.2">
      <c r="A129" s="13"/>
      <c r="B129" s="19"/>
      <c r="C129" s="34"/>
      <c r="D129" s="20"/>
      <c r="E129" s="2"/>
    </row>
    <row r="130" spans="1:5" x14ac:dyDescent="0.2">
      <c r="A130" s="13"/>
      <c r="B130" s="19"/>
      <c r="C130" s="34"/>
      <c r="D130" s="20"/>
      <c r="E130" s="2"/>
    </row>
    <row r="131" spans="1:5" x14ac:dyDescent="0.2">
      <c r="A131" s="13"/>
      <c r="B131" s="19"/>
      <c r="C131" s="34"/>
      <c r="D131" s="20"/>
      <c r="E131" s="2"/>
    </row>
    <row r="132" spans="1:5" x14ac:dyDescent="0.2">
      <c r="A132" s="13"/>
      <c r="B132" s="19"/>
      <c r="C132" s="34"/>
      <c r="D132" s="20"/>
      <c r="E132" s="2"/>
    </row>
    <row r="133" spans="1:5" x14ac:dyDescent="0.2">
      <c r="A133" s="13"/>
      <c r="B133" s="19"/>
      <c r="C133" s="34"/>
      <c r="D133" s="20"/>
      <c r="E133" s="2"/>
    </row>
    <row r="134" spans="1:5" x14ac:dyDescent="0.2">
      <c r="A134" s="13"/>
      <c r="B134" s="19"/>
      <c r="C134" s="34"/>
      <c r="D134" s="20"/>
      <c r="E134" s="2"/>
    </row>
    <row r="135" spans="1:5" x14ac:dyDescent="0.2">
      <c r="A135" s="13"/>
      <c r="B135" s="19"/>
      <c r="C135" s="34"/>
      <c r="D135" s="20"/>
      <c r="E135" s="2"/>
    </row>
    <row r="136" spans="1:5" x14ac:dyDescent="0.2">
      <c r="A136" s="13"/>
      <c r="B136" s="19"/>
      <c r="C136" s="34"/>
      <c r="D136" s="20"/>
      <c r="E136" s="2"/>
    </row>
    <row r="137" spans="1:5" x14ac:dyDescent="0.2">
      <c r="A137" s="13"/>
      <c r="B137" s="19"/>
      <c r="C137" s="34"/>
      <c r="D137" s="20"/>
      <c r="E137" s="2"/>
    </row>
    <row r="138" spans="1:5" x14ac:dyDescent="0.2">
      <c r="A138" s="13"/>
      <c r="B138" s="19"/>
      <c r="C138" s="34"/>
      <c r="D138" s="20"/>
      <c r="E138" s="2"/>
    </row>
    <row r="139" spans="1:5" x14ac:dyDescent="0.2">
      <c r="A139" s="13"/>
      <c r="B139" s="19"/>
      <c r="C139" s="34"/>
      <c r="D139" s="20"/>
      <c r="E139" s="2"/>
    </row>
    <row r="140" spans="1:5" x14ac:dyDescent="0.2">
      <c r="A140" s="13"/>
      <c r="B140" s="19"/>
      <c r="C140" s="34"/>
      <c r="D140" s="20"/>
      <c r="E140" s="2"/>
    </row>
    <row r="141" spans="1:5" x14ac:dyDescent="0.2">
      <c r="A141" s="13"/>
      <c r="B141" s="19"/>
      <c r="C141" s="34"/>
      <c r="D141" s="20"/>
      <c r="E141" s="2"/>
    </row>
    <row r="142" spans="1:5" x14ac:dyDescent="0.2">
      <c r="A142" s="13"/>
      <c r="B142" s="19"/>
      <c r="C142" s="34"/>
      <c r="D142" s="20"/>
      <c r="E142" s="2"/>
    </row>
    <row r="143" spans="1:5" x14ac:dyDescent="0.2">
      <c r="A143" s="13"/>
      <c r="B143" s="19"/>
      <c r="C143" s="34"/>
      <c r="D143" s="20"/>
      <c r="E143" s="2"/>
    </row>
    <row r="144" spans="1:5" x14ac:dyDescent="0.2">
      <c r="A144" s="13"/>
      <c r="B144" s="19"/>
      <c r="C144" s="34"/>
      <c r="D144" s="20"/>
      <c r="E144" s="2"/>
    </row>
    <row r="145" spans="1:5" x14ac:dyDescent="0.2">
      <c r="A145" s="13"/>
      <c r="B145" s="19"/>
      <c r="C145" s="34"/>
      <c r="D145" s="20"/>
      <c r="E145" s="2"/>
    </row>
    <row r="146" spans="1:5" x14ac:dyDescent="0.2">
      <c r="A146" s="13"/>
      <c r="B146" s="19"/>
      <c r="C146" s="34"/>
      <c r="D146" s="20"/>
      <c r="E146" s="2"/>
    </row>
    <row r="147" spans="1:5" x14ac:dyDescent="0.2">
      <c r="A147" s="13"/>
      <c r="B147" s="19"/>
      <c r="C147" s="34"/>
      <c r="D147" s="20"/>
      <c r="E147" s="2"/>
    </row>
    <row r="148" spans="1:5" x14ac:dyDescent="0.2">
      <c r="A148" s="13"/>
      <c r="B148" s="19"/>
      <c r="C148" s="34"/>
      <c r="D148" s="20"/>
      <c r="E148" s="2"/>
    </row>
    <row r="149" spans="1:5" x14ac:dyDescent="0.2">
      <c r="A149" s="13"/>
      <c r="B149" s="19"/>
      <c r="C149" s="34"/>
      <c r="D149" s="20"/>
      <c r="E149" s="2"/>
    </row>
    <row r="150" spans="1:5" x14ac:dyDescent="0.2">
      <c r="A150" s="13"/>
      <c r="B150" s="19"/>
      <c r="C150" s="34"/>
      <c r="D150" s="20"/>
      <c r="E150" s="2"/>
    </row>
    <row r="151" spans="1:5" x14ac:dyDescent="0.2">
      <c r="A151" s="13"/>
      <c r="B151" s="19"/>
      <c r="C151" s="34"/>
      <c r="D151" s="20"/>
      <c r="E151" s="2"/>
    </row>
    <row r="152" spans="1:5" x14ac:dyDescent="0.2">
      <c r="A152" s="13"/>
      <c r="B152" s="19"/>
      <c r="C152" s="34"/>
      <c r="D152" s="20"/>
      <c r="E152" s="2"/>
    </row>
    <row r="153" spans="1:5" x14ac:dyDescent="0.2">
      <c r="A153" s="13"/>
      <c r="B153" s="19"/>
      <c r="C153" s="34"/>
      <c r="D153" s="20"/>
      <c r="E153" s="2"/>
    </row>
    <row r="154" spans="1:5" x14ac:dyDescent="0.2">
      <c r="A154" s="13"/>
      <c r="B154" s="19"/>
      <c r="C154" s="34"/>
      <c r="D154" s="20"/>
      <c r="E154" s="2"/>
    </row>
    <row r="155" spans="1:5" x14ac:dyDescent="0.2">
      <c r="A155" s="13"/>
      <c r="B155" s="19"/>
      <c r="C155" s="34"/>
      <c r="D155" s="20"/>
      <c r="E155" s="2"/>
    </row>
    <row r="156" spans="1:5" x14ac:dyDescent="0.2">
      <c r="A156" s="13"/>
      <c r="B156" s="19"/>
      <c r="C156" s="34"/>
      <c r="D156" s="20"/>
      <c r="E156" s="2"/>
    </row>
    <row r="157" spans="1:5" x14ac:dyDescent="0.2">
      <c r="A157" s="13"/>
      <c r="B157" s="19"/>
      <c r="C157" s="34"/>
      <c r="D157" s="20"/>
      <c r="E157" s="2"/>
    </row>
    <row r="158" spans="1:5" x14ac:dyDescent="0.2">
      <c r="A158" s="13"/>
      <c r="B158" s="19"/>
      <c r="C158" s="34"/>
      <c r="D158" s="20"/>
      <c r="E158" s="2"/>
    </row>
    <row r="159" spans="1:5" x14ac:dyDescent="0.2">
      <c r="A159" s="13"/>
      <c r="B159" s="19"/>
      <c r="C159" s="34"/>
      <c r="D159" s="20"/>
      <c r="E159" s="2"/>
    </row>
    <row r="160" spans="1:5" x14ac:dyDescent="0.2">
      <c r="A160" s="13"/>
      <c r="B160" s="19"/>
      <c r="C160" s="34"/>
      <c r="D160" s="20"/>
      <c r="E160" s="2"/>
    </row>
    <row r="161" spans="1:5" x14ac:dyDescent="0.2">
      <c r="A161" s="13"/>
      <c r="B161" s="19"/>
      <c r="C161" s="34"/>
      <c r="D161" s="20"/>
      <c r="E161" s="2"/>
    </row>
    <row r="162" spans="1:5" x14ac:dyDescent="0.2">
      <c r="A162" s="13"/>
      <c r="B162" s="19"/>
      <c r="C162" s="34"/>
      <c r="D162" s="20"/>
      <c r="E162" s="2"/>
    </row>
    <row r="163" spans="1:5" x14ac:dyDescent="0.2">
      <c r="A163" s="13"/>
      <c r="B163" s="19"/>
      <c r="C163" s="34"/>
      <c r="D163" s="20"/>
      <c r="E163" s="2"/>
    </row>
    <row r="164" spans="1:5" x14ac:dyDescent="0.2">
      <c r="A164" s="13"/>
      <c r="B164" s="19"/>
      <c r="C164" s="34"/>
      <c r="D164" s="20"/>
      <c r="E164" s="2"/>
    </row>
    <row r="165" spans="1:5" x14ac:dyDescent="0.2">
      <c r="A165" s="13"/>
      <c r="B165" s="19"/>
      <c r="C165" s="34"/>
      <c r="D165" s="20"/>
      <c r="E165" s="2"/>
    </row>
    <row r="166" spans="1:5" x14ac:dyDescent="0.2">
      <c r="A166" s="13"/>
      <c r="B166" s="19"/>
      <c r="C166" s="34"/>
      <c r="D166" s="20"/>
      <c r="E166" s="2"/>
    </row>
    <row r="167" spans="1:5" x14ac:dyDescent="0.2">
      <c r="A167" s="13"/>
      <c r="B167" s="19"/>
      <c r="C167" s="34"/>
      <c r="D167" s="20"/>
      <c r="E167" s="2"/>
    </row>
    <row r="168" spans="1:5" x14ac:dyDescent="0.2">
      <c r="A168" s="13"/>
      <c r="B168" s="19"/>
      <c r="C168" s="34"/>
      <c r="D168" s="20"/>
      <c r="E168" s="2"/>
    </row>
    <row r="169" spans="1:5" x14ac:dyDescent="0.2">
      <c r="A169" s="13"/>
      <c r="B169" s="19"/>
      <c r="C169" s="34"/>
      <c r="D169" s="20"/>
      <c r="E169" s="2"/>
    </row>
    <row r="170" spans="1:5" x14ac:dyDescent="0.2">
      <c r="A170" s="13"/>
      <c r="B170" s="19"/>
      <c r="C170" s="34"/>
      <c r="D170" s="20"/>
      <c r="E170" s="2"/>
    </row>
    <row r="171" spans="1:5" x14ac:dyDescent="0.2">
      <c r="A171" s="13"/>
      <c r="B171" s="19"/>
      <c r="C171" s="34"/>
      <c r="D171" s="20"/>
      <c r="E171" s="2"/>
    </row>
    <row r="172" spans="1:5" x14ac:dyDescent="0.2">
      <c r="A172" s="13"/>
      <c r="B172" s="19"/>
      <c r="C172" s="34"/>
      <c r="D172" s="20"/>
      <c r="E172" s="2"/>
    </row>
    <row r="173" spans="1:5" x14ac:dyDescent="0.2">
      <c r="A173" s="13"/>
      <c r="B173" s="19"/>
      <c r="C173" s="34"/>
      <c r="D173" s="20"/>
      <c r="E173" s="2"/>
    </row>
    <row r="174" spans="1:5" x14ac:dyDescent="0.2">
      <c r="A174" s="13"/>
      <c r="B174" s="19"/>
      <c r="C174" s="34"/>
      <c r="D174" s="20"/>
      <c r="E174" s="2"/>
    </row>
    <row r="175" spans="1:5" x14ac:dyDescent="0.2">
      <c r="A175" s="13"/>
      <c r="B175" s="19"/>
      <c r="C175" s="34"/>
      <c r="D175" s="20"/>
      <c r="E175" s="2"/>
    </row>
    <row r="176" spans="1:5" x14ac:dyDescent="0.2">
      <c r="A176" s="13"/>
      <c r="B176" s="19"/>
      <c r="C176" s="34"/>
      <c r="D176" s="20"/>
      <c r="E176" s="2"/>
    </row>
    <row r="177" spans="1:5" x14ac:dyDescent="0.2">
      <c r="A177" s="13"/>
      <c r="B177" s="19"/>
      <c r="C177" s="34"/>
      <c r="D177" s="20"/>
      <c r="E177" s="2"/>
    </row>
    <row r="178" spans="1:5" x14ac:dyDescent="0.2">
      <c r="A178" s="13"/>
      <c r="B178" s="19"/>
      <c r="C178" s="34"/>
      <c r="D178" s="20"/>
      <c r="E178" s="2"/>
    </row>
    <row r="179" spans="1:5" x14ac:dyDescent="0.2">
      <c r="A179" s="13"/>
      <c r="B179" s="19"/>
      <c r="C179" s="34"/>
      <c r="D179" s="20"/>
      <c r="E179" s="2"/>
    </row>
    <row r="180" spans="1:5" x14ac:dyDescent="0.2">
      <c r="A180" s="13"/>
      <c r="B180" s="19"/>
      <c r="C180" s="34"/>
      <c r="D180" s="20"/>
      <c r="E180" s="2"/>
    </row>
    <row r="181" spans="1:5" x14ac:dyDescent="0.2">
      <c r="A181" s="13"/>
      <c r="B181" s="19"/>
      <c r="C181" s="34"/>
      <c r="D181" s="20"/>
      <c r="E181" s="2"/>
    </row>
    <row r="182" spans="1:5" x14ac:dyDescent="0.2">
      <c r="A182" s="13"/>
      <c r="B182" s="19"/>
      <c r="C182" s="34"/>
      <c r="D182" s="20"/>
      <c r="E182" s="2"/>
    </row>
    <row r="183" spans="1:5" x14ac:dyDescent="0.2">
      <c r="A183" s="13"/>
      <c r="B183" s="19"/>
      <c r="C183" s="34"/>
      <c r="D183" s="20"/>
      <c r="E183" s="2"/>
    </row>
    <row r="184" spans="1:5" x14ac:dyDescent="0.2">
      <c r="A184" s="13"/>
      <c r="B184" s="19"/>
      <c r="C184" s="34"/>
      <c r="D184" s="20"/>
      <c r="E184" s="2"/>
    </row>
    <row r="185" spans="1:5" x14ac:dyDescent="0.2">
      <c r="A185" s="13"/>
      <c r="B185" s="19"/>
      <c r="C185" s="34"/>
      <c r="D185" s="20"/>
      <c r="E185" s="2"/>
    </row>
    <row r="186" spans="1:5" x14ac:dyDescent="0.2">
      <c r="A186" s="13"/>
      <c r="B186" s="19"/>
      <c r="C186" s="34"/>
      <c r="D186" s="20"/>
      <c r="E186" s="2"/>
    </row>
    <row r="187" spans="1:5" x14ac:dyDescent="0.2">
      <c r="A187" s="13"/>
      <c r="B187" s="19"/>
      <c r="C187" s="34"/>
      <c r="D187" s="20"/>
      <c r="E187" s="2"/>
    </row>
    <row r="188" spans="1:5" x14ac:dyDescent="0.2">
      <c r="A188" s="13"/>
      <c r="B188" s="19"/>
      <c r="C188" s="34"/>
      <c r="D188" s="20"/>
      <c r="E188" s="2"/>
    </row>
    <row r="189" spans="1:5" x14ac:dyDescent="0.2">
      <c r="A189" s="13"/>
      <c r="B189" s="19"/>
      <c r="C189" s="34"/>
      <c r="D189" s="20"/>
      <c r="E189" s="2"/>
    </row>
    <row r="190" spans="1:5" x14ac:dyDescent="0.2">
      <c r="A190" s="13"/>
      <c r="B190" s="19"/>
      <c r="C190" s="34"/>
      <c r="D190" s="20"/>
      <c r="E190" s="2"/>
    </row>
    <row r="191" spans="1:5" x14ac:dyDescent="0.2">
      <c r="A191" s="13"/>
      <c r="B191" s="19"/>
      <c r="C191" s="34"/>
      <c r="D191" s="20"/>
      <c r="E191" s="2"/>
    </row>
    <row r="192" spans="1:5" x14ac:dyDescent="0.2">
      <c r="A192" s="13"/>
      <c r="B192" s="19"/>
      <c r="C192" s="34"/>
      <c r="D192" s="20"/>
      <c r="E192" s="2"/>
    </row>
    <row r="193" spans="1:5" x14ac:dyDescent="0.2">
      <c r="A193" s="13"/>
      <c r="B193" s="19"/>
      <c r="C193" s="34"/>
      <c r="D193" s="20"/>
      <c r="E193" s="2"/>
    </row>
    <row r="194" spans="1:5" x14ac:dyDescent="0.2">
      <c r="A194" s="13"/>
      <c r="B194" s="19"/>
      <c r="C194" s="34"/>
      <c r="D194" s="20"/>
      <c r="E194" s="2"/>
    </row>
    <row r="195" spans="1:5" x14ac:dyDescent="0.2">
      <c r="A195" s="13"/>
      <c r="B195" s="19"/>
      <c r="C195" s="34"/>
      <c r="D195" s="20"/>
      <c r="E195" s="2"/>
    </row>
    <row r="196" spans="1:5" x14ac:dyDescent="0.2">
      <c r="A196" s="13"/>
      <c r="B196" s="19"/>
      <c r="C196" s="34"/>
      <c r="D196" s="20"/>
      <c r="E196" s="2"/>
    </row>
    <row r="197" spans="1:5" x14ac:dyDescent="0.2">
      <c r="A197" s="13"/>
      <c r="B197" s="19"/>
      <c r="C197" s="34"/>
      <c r="D197" s="20"/>
      <c r="E197" s="2"/>
    </row>
    <row r="198" spans="1:5" x14ac:dyDescent="0.2">
      <c r="A198" s="13"/>
      <c r="B198" s="19"/>
      <c r="C198" s="34"/>
      <c r="D198" s="20"/>
      <c r="E198" s="2"/>
    </row>
    <row r="199" spans="1:5" x14ac:dyDescent="0.2">
      <c r="A199" s="13"/>
      <c r="B199" s="19"/>
      <c r="C199" s="34"/>
      <c r="D199" s="20"/>
      <c r="E199" s="2"/>
    </row>
    <row r="200" spans="1:5" x14ac:dyDescent="0.2">
      <c r="A200" s="13"/>
      <c r="B200" s="19"/>
      <c r="C200" s="34"/>
      <c r="D200" s="20"/>
      <c r="E200" s="2"/>
    </row>
    <row r="201" spans="1:5" x14ac:dyDescent="0.2">
      <c r="A201" s="13"/>
      <c r="B201" s="19"/>
      <c r="C201" s="34"/>
      <c r="D201" s="20"/>
      <c r="E201" s="2"/>
    </row>
    <row r="202" spans="1:5" x14ac:dyDescent="0.2">
      <c r="A202" s="13"/>
      <c r="B202" s="19"/>
      <c r="C202" s="34"/>
      <c r="D202" s="20"/>
      <c r="E202" s="2"/>
    </row>
    <row r="203" spans="1:5" x14ac:dyDescent="0.2">
      <c r="A203" s="13"/>
      <c r="B203" s="19"/>
      <c r="C203" s="34"/>
      <c r="D203" s="20"/>
      <c r="E203" s="2"/>
    </row>
    <row r="204" spans="1:5" x14ac:dyDescent="0.2">
      <c r="A204" s="13"/>
      <c r="B204" s="19"/>
      <c r="C204" s="34"/>
      <c r="D204" s="20"/>
      <c r="E204" s="2"/>
    </row>
    <row r="205" spans="1:5" x14ac:dyDescent="0.2">
      <c r="A205" s="13"/>
      <c r="B205" s="19"/>
      <c r="C205" s="34"/>
      <c r="D205" s="20"/>
      <c r="E205" s="2"/>
    </row>
    <row r="206" spans="1:5" x14ac:dyDescent="0.2">
      <c r="A206" s="13"/>
      <c r="B206" s="19"/>
      <c r="C206" s="34"/>
      <c r="D206" s="20"/>
      <c r="E206" s="2"/>
    </row>
    <row r="207" spans="1:5" x14ac:dyDescent="0.2">
      <c r="A207" s="13"/>
      <c r="B207" s="19"/>
      <c r="C207" s="34"/>
      <c r="D207" s="20"/>
      <c r="E207" s="2"/>
    </row>
    <row r="208" spans="1:5" x14ac:dyDescent="0.2">
      <c r="A208" s="13"/>
      <c r="B208" s="19"/>
      <c r="C208" s="34"/>
      <c r="D208" s="20"/>
      <c r="E208" s="2"/>
    </row>
    <row r="209" spans="1:5" x14ac:dyDescent="0.2">
      <c r="A209" s="13"/>
      <c r="B209" s="19"/>
      <c r="C209" s="34"/>
      <c r="D209" s="20"/>
      <c r="E209" s="2"/>
    </row>
    <row r="210" spans="1:5" x14ac:dyDescent="0.2">
      <c r="A210" s="13"/>
      <c r="B210" s="19"/>
      <c r="C210" s="34"/>
      <c r="D210" s="20"/>
      <c r="E210" s="2"/>
    </row>
    <row r="211" spans="1:5" x14ac:dyDescent="0.2">
      <c r="A211" s="13"/>
      <c r="B211" s="19"/>
      <c r="C211" s="34"/>
      <c r="D211" s="20"/>
      <c r="E211" s="2"/>
    </row>
    <row r="212" spans="1:5" x14ac:dyDescent="0.2">
      <c r="A212" s="13"/>
      <c r="B212" s="19"/>
      <c r="C212" s="34"/>
      <c r="D212" s="20"/>
      <c r="E212" s="2"/>
    </row>
    <row r="213" spans="1:5" x14ac:dyDescent="0.2">
      <c r="A213" s="13"/>
      <c r="B213" s="19"/>
      <c r="C213" s="34"/>
      <c r="D213" s="20"/>
      <c r="E213" s="2"/>
    </row>
    <row r="214" spans="1:5" x14ac:dyDescent="0.2">
      <c r="A214" s="13"/>
      <c r="B214" s="19"/>
      <c r="C214" s="34"/>
      <c r="D214" s="20"/>
      <c r="E214" s="2"/>
    </row>
    <row r="215" spans="1:5" x14ac:dyDescent="0.2">
      <c r="A215" s="13"/>
      <c r="B215" s="19"/>
      <c r="C215" s="34"/>
      <c r="D215" s="20"/>
      <c r="E215" s="2"/>
    </row>
    <row r="216" spans="1:5" x14ac:dyDescent="0.2">
      <c r="A216" s="13"/>
      <c r="B216" s="19"/>
      <c r="C216" s="34"/>
      <c r="D216" s="20"/>
      <c r="E216" s="2"/>
    </row>
    <row r="217" spans="1:5" x14ac:dyDescent="0.2">
      <c r="A217" s="13"/>
      <c r="B217" s="19"/>
      <c r="C217" s="34"/>
      <c r="D217" s="20"/>
      <c r="E217" s="2"/>
    </row>
    <row r="218" spans="1:5" x14ac:dyDescent="0.2">
      <c r="A218" s="13"/>
      <c r="B218" s="19"/>
      <c r="C218" s="34"/>
      <c r="D218" s="20"/>
      <c r="E218" s="2"/>
    </row>
    <row r="219" spans="1:5" x14ac:dyDescent="0.2">
      <c r="A219" s="13"/>
      <c r="B219" s="19"/>
      <c r="C219" s="34"/>
      <c r="D219" s="20"/>
      <c r="E219" s="2"/>
    </row>
    <row r="220" spans="1:5" x14ac:dyDescent="0.2">
      <c r="A220" s="13"/>
      <c r="B220" s="19"/>
      <c r="C220" s="34"/>
      <c r="D220" s="20"/>
      <c r="E220" s="2"/>
    </row>
    <row r="221" spans="1:5" x14ac:dyDescent="0.2">
      <c r="A221" s="13"/>
      <c r="B221" s="19"/>
      <c r="C221" s="34"/>
      <c r="D221" s="20"/>
      <c r="E221" s="2"/>
    </row>
    <row r="222" spans="1:5" x14ac:dyDescent="0.2">
      <c r="A222" s="13"/>
      <c r="B222" s="19"/>
      <c r="C222" s="34"/>
      <c r="D222" s="20"/>
      <c r="E222" s="2"/>
    </row>
    <row r="223" spans="1:5" x14ac:dyDescent="0.2">
      <c r="A223" s="13"/>
      <c r="B223" s="19"/>
      <c r="C223" s="34"/>
      <c r="D223" s="20"/>
      <c r="E223" s="2"/>
    </row>
    <row r="224" spans="1:5" x14ac:dyDescent="0.2">
      <c r="A224" s="13"/>
      <c r="B224" s="19"/>
      <c r="C224" s="34"/>
      <c r="D224" s="20"/>
      <c r="E224" s="2"/>
    </row>
    <row r="225" spans="1:5" x14ac:dyDescent="0.2">
      <c r="A225" s="13"/>
      <c r="B225" s="19"/>
      <c r="C225" s="34"/>
      <c r="D225" s="20"/>
      <c r="E225" s="2"/>
    </row>
    <row r="226" spans="1:5" x14ac:dyDescent="0.2">
      <c r="A226" s="13"/>
      <c r="B226" s="19"/>
      <c r="C226" s="34"/>
      <c r="D226" s="20"/>
      <c r="E226" s="2"/>
    </row>
    <row r="227" spans="1:5" x14ac:dyDescent="0.2">
      <c r="A227" s="13"/>
      <c r="B227" s="19"/>
      <c r="C227" s="34"/>
      <c r="D227" s="20"/>
      <c r="E227" s="2"/>
    </row>
    <row r="228" spans="1:5" x14ac:dyDescent="0.2">
      <c r="A228" s="13"/>
      <c r="B228" s="19"/>
      <c r="C228" s="34"/>
      <c r="D228" s="20"/>
      <c r="E228" s="2"/>
    </row>
    <row r="229" spans="1:5" x14ac:dyDescent="0.2">
      <c r="A229" s="13"/>
      <c r="B229" s="19"/>
      <c r="C229" s="34"/>
      <c r="D229" s="20"/>
      <c r="E229" s="2"/>
    </row>
    <row r="230" spans="1:5" x14ac:dyDescent="0.2">
      <c r="A230" s="13"/>
      <c r="B230" s="19"/>
      <c r="C230" s="34"/>
      <c r="D230" s="20"/>
      <c r="E230" s="2"/>
    </row>
    <row r="231" spans="1:5" x14ac:dyDescent="0.2">
      <c r="A231" s="13"/>
      <c r="B231" s="19"/>
      <c r="C231" s="34"/>
      <c r="D231" s="20"/>
      <c r="E231" s="2"/>
    </row>
    <row r="232" spans="1:5" x14ac:dyDescent="0.2">
      <c r="A232" s="13"/>
      <c r="B232" s="19"/>
      <c r="C232" s="34"/>
      <c r="D232" s="20"/>
      <c r="E232" s="2"/>
    </row>
    <row r="233" spans="1:5" x14ac:dyDescent="0.2">
      <c r="A233" s="13"/>
      <c r="B233" s="19"/>
      <c r="C233" s="34"/>
      <c r="D233" s="20"/>
      <c r="E233" s="2"/>
    </row>
    <row r="234" spans="1:5" x14ac:dyDescent="0.2">
      <c r="A234" s="13"/>
      <c r="B234" s="19"/>
      <c r="C234" s="34"/>
      <c r="D234" s="20"/>
      <c r="E234" s="2"/>
    </row>
    <row r="235" spans="1:5" x14ac:dyDescent="0.2">
      <c r="A235" s="13"/>
      <c r="B235" s="19"/>
      <c r="C235" s="34"/>
      <c r="D235" s="20"/>
      <c r="E235" s="2"/>
    </row>
    <row r="236" spans="1:5" x14ac:dyDescent="0.2">
      <c r="A236" s="13"/>
      <c r="B236" s="19"/>
      <c r="C236" s="34"/>
      <c r="D236" s="20"/>
      <c r="E236" s="2"/>
    </row>
    <row r="237" spans="1:5" x14ac:dyDescent="0.2">
      <c r="A237" s="13"/>
      <c r="B237" s="19"/>
      <c r="C237" s="34"/>
      <c r="D237" s="20"/>
      <c r="E237" s="2"/>
    </row>
    <row r="238" spans="1:5" x14ac:dyDescent="0.2">
      <c r="A238" s="13"/>
      <c r="B238" s="19"/>
      <c r="C238" s="34"/>
      <c r="D238" s="20"/>
      <c r="E238" s="2"/>
    </row>
    <row r="239" spans="1:5" x14ac:dyDescent="0.2">
      <c r="A239" s="13"/>
      <c r="B239" s="19"/>
      <c r="C239" s="34"/>
      <c r="D239" s="20"/>
      <c r="E239" s="2"/>
    </row>
    <row r="240" spans="1:5" x14ac:dyDescent="0.2">
      <c r="A240" s="13"/>
      <c r="B240" s="19"/>
      <c r="C240" s="34"/>
      <c r="D240" s="20"/>
      <c r="E240" s="2"/>
    </row>
    <row r="241" spans="1:5" x14ac:dyDescent="0.2">
      <c r="A241" s="13"/>
      <c r="B241" s="19"/>
      <c r="C241" s="34"/>
      <c r="D241" s="20"/>
      <c r="E241" s="2"/>
    </row>
    <row r="242" spans="1:5" x14ac:dyDescent="0.2">
      <c r="A242" s="13"/>
      <c r="B242" s="19"/>
      <c r="C242" s="34"/>
      <c r="D242" s="20"/>
      <c r="E242" s="2"/>
    </row>
    <row r="243" spans="1:5" x14ac:dyDescent="0.2">
      <c r="A243" s="13"/>
      <c r="B243" s="19"/>
      <c r="C243" s="34"/>
      <c r="D243" s="20"/>
      <c r="E243" s="2"/>
    </row>
    <row r="244" spans="1:5" x14ac:dyDescent="0.2">
      <c r="A244" s="13"/>
      <c r="B244" s="19"/>
      <c r="C244" s="34"/>
      <c r="D244" s="20"/>
      <c r="E244" s="2"/>
    </row>
    <row r="245" spans="1:5" x14ac:dyDescent="0.2">
      <c r="A245" s="13"/>
      <c r="B245" s="19"/>
      <c r="C245" s="34"/>
      <c r="D245" s="20"/>
      <c r="E245" s="2"/>
    </row>
    <row r="246" spans="1:5" x14ac:dyDescent="0.2">
      <c r="A246" s="13"/>
      <c r="B246" s="19"/>
      <c r="C246" s="34"/>
      <c r="D246" s="20"/>
      <c r="E246" s="2"/>
    </row>
    <row r="247" spans="1:5" x14ac:dyDescent="0.2">
      <c r="A247" s="13"/>
      <c r="B247" s="19"/>
      <c r="C247" s="34"/>
      <c r="D247" s="20"/>
      <c r="E247" s="2"/>
    </row>
    <row r="248" spans="1:5" x14ac:dyDescent="0.2">
      <c r="A248" s="13"/>
      <c r="B248" s="19"/>
      <c r="C248" s="34"/>
      <c r="D248" s="20"/>
      <c r="E248" s="2"/>
    </row>
    <row r="249" spans="1:5" x14ac:dyDescent="0.2">
      <c r="A249" s="13"/>
      <c r="B249" s="19"/>
      <c r="C249" s="34"/>
      <c r="D249" s="20"/>
      <c r="E249" s="2"/>
    </row>
    <row r="250" spans="1:5" x14ac:dyDescent="0.2">
      <c r="A250" s="13"/>
      <c r="B250" s="19"/>
      <c r="C250" s="34"/>
      <c r="D250" s="20"/>
      <c r="E250" s="2"/>
    </row>
    <row r="251" spans="1:5" x14ac:dyDescent="0.2">
      <c r="A251" s="13"/>
      <c r="B251" s="19"/>
      <c r="C251" s="34"/>
      <c r="D251" s="20"/>
      <c r="E251" s="2"/>
    </row>
    <row r="252" spans="1:5" x14ac:dyDescent="0.2">
      <c r="A252" s="13"/>
      <c r="B252" s="19"/>
      <c r="C252" s="34"/>
      <c r="D252" s="20"/>
      <c r="E252" s="2"/>
    </row>
    <row r="253" spans="1:5" x14ac:dyDescent="0.2">
      <c r="A253" s="13"/>
      <c r="B253" s="19"/>
      <c r="C253" s="34"/>
      <c r="D253" s="20"/>
      <c r="E253" s="2"/>
    </row>
    <row r="254" spans="1:5" x14ac:dyDescent="0.2">
      <c r="A254" s="13"/>
      <c r="B254" s="19"/>
      <c r="C254" s="34"/>
      <c r="D254" s="20"/>
      <c r="E254" s="2"/>
    </row>
    <row r="255" spans="1:5" x14ac:dyDescent="0.2">
      <c r="A255" s="13"/>
      <c r="B255" s="19"/>
      <c r="C255" s="34"/>
      <c r="D255" s="20"/>
      <c r="E255" s="2"/>
    </row>
    <row r="256" spans="1:5" x14ac:dyDescent="0.2">
      <c r="A256" s="13"/>
      <c r="B256" s="19"/>
      <c r="C256" s="34"/>
      <c r="D256" s="20"/>
      <c r="E256" s="2"/>
    </row>
    <row r="257" spans="1:5" x14ac:dyDescent="0.2">
      <c r="A257" s="13"/>
      <c r="B257" s="19"/>
      <c r="C257" s="34"/>
      <c r="D257" s="20"/>
      <c r="E257" s="2"/>
    </row>
    <row r="258" spans="1:5" x14ac:dyDescent="0.2">
      <c r="A258" s="13"/>
      <c r="B258" s="19"/>
      <c r="C258" s="34"/>
      <c r="D258" s="20"/>
      <c r="E258" s="2"/>
    </row>
    <row r="259" spans="1:5" x14ac:dyDescent="0.2">
      <c r="A259" s="13"/>
      <c r="B259" s="19"/>
      <c r="C259" s="34"/>
      <c r="D259" s="20"/>
      <c r="E259" s="2"/>
    </row>
    <row r="260" spans="1:5" x14ac:dyDescent="0.2">
      <c r="A260" s="13"/>
      <c r="B260" s="19"/>
      <c r="C260" s="34"/>
      <c r="D260" s="20"/>
      <c r="E260" s="2"/>
    </row>
    <row r="261" spans="1:5" x14ac:dyDescent="0.2">
      <c r="A261" s="13"/>
      <c r="B261" s="19"/>
      <c r="C261" s="34"/>
      <c r="D261" s="20"/>
      <c r="E261" s="2"/>
    </row>
    <row r="262" spans="1:5" x14ac:dyDescent="0.2">
      <c r="A262" s="13"/>
      <c r="B262" s="19"/>
      <c r="C262" s="34"/>
      <c r="D262" s="20"/>
      <c r="E262" s="2"/>
    </row>
    <row r="263" spans="1:5" x14ac:dyDescent="0.2">
      <c r="A263" s="13"/>
      <c r="B263" s="19"/>
      <c r="C263" s="34"/>
      <c r="D263" s="20"/>
      <c r="E263" s="2"/>
    </row>
    <row r="264" spans="1:5" x14ac:dyDescent="0.2">
      <c r="A264" s="13"/>
      <c r="B264" s="19"/>
      <c r="C264" s="34"/>
      <c r="D264" s="20"/>
      <c r="E264" s="2"/>
    </row>
    <row r="265" spans="1:5" x14ac:dyDescent="0.2">
      <c r="A265" s="13"/>
      <c r="B265" s="19"/>
      <c r="C265" s="34"/>
      <c r="D265" s="20"/>
      <c r="E265" s="2"/>
    </row>
    <row r="266" spans="1:5" x14ac:dyDescent="0.2">
      <c r="A266" s="13"/>
      <c r="B266" s="19"/>
      <c r="C266" s="34"/>
      <c r="D266" s="20"/>
      <c r="E266" s="2"/>
    </row>
    <row r="267" spans="1:5" x14ac:dyDescent="0.2">
      <c r="A267" s="13"/>
      <c r="B267" s="19"/>
      <c r="C267" s="34"/>
      <c r="D267" s="20"/>
      <c r="E267" s="2"/>
    </row>
    <row r="268" spans="1:5" x14ac:dyDescent="0.2">
      <c r="A268" s="13"/>
      <c r="B268" s="19"/>
      <c r="C268" s="34"/>
      <c r="D268" s="20"/>
      <c r="E268" s="2"/>
    </row>
    <row r="269" spans="1:5" x14ac:dyDescent="0.2">
      <c r="A269" s="13"/>
      <c r="B269" s="19"/>
      <c r="C269" s="34"/>
      <c r="D269" s="20"/>
      <c r="E269" s="2"/>
    </row>
    <row r="270" spans="1:5" x14ac:dyDescent="0.2">
      <c r="A270" s="13"/>
      <c r="B270" s="19"/>
      <c r="C270" s="34"/>
      <c r="D270" s="20"/>
      <c r="E270" s="2"/>
    </row>
    <row r="271" spans="1:5" x14ac:dyDescent="0.2">
      <c r="A271" s="13"/>
      <c r="B271" s="19"/>
      <c r="C271" s="34"/>
      <c r="D271" s="20"/>
      <c r="E271" s="2"/>
    </row>
    <row r="272" spans="1:5" x14ac:dyDescent="0.2">
      <c r="A272" s="13"/>
      <c r="B272" s="19"/>
      <c r="C272" s="34"/>
      <c r="D272" s="20"/>
      <c r="E272" s="2"/>
    </row>
    <row r="273" spans="1:5" x14ac:dyDescent="0.2">
      <c r="A273" s="13"/>
      <c r="B273" s="19"/>
      <c r="C273" s="34"/>
      <c r="D273" s="20"/>
      <c r="E273" s="2"/>
    </row>
    <row r="274" spans="1:5" x14ac:dyDescent="0.2">
      <c r="A274" s="13"/>
      <c r="B274" s="19"/>
      <c r="C274" s="34"/>
      <c r="D274" s="20"/>
      <c r="E274" s="2"/>
    </row>
    <row r="275" spans="1:5" x14ac:dyDescent="0.2">
      <c r="A275" s="13"/>
      <c r="B275" s="19"/>
      <c r="C275" s="34"/>
      <c r="D275" s="20"/>
      <c r="E275" s="2"/>
    </row>
    <row r="276" spans="1:5" x14ac:dyDescent="0.2">
      <c r="A276" s="13"/>
      <c r="B276" s="19"/>
      <c r="C276" s="34"/>
      <c r="D276" s="20"/>
      <c r="E276" s="2"/>
    </row>
    <row r="277" spans="1:5" x14ac:dyDescent="0.2">
      <c r="A277" s="13"/>
      <c r="B277" s="19"/>
      <c r="C277" s="34"/>
      <c r="D277" s="20"/>
      <c r="E277" s="2"/>
    </row>
    <row r="278" spans="1:5" x14ac:dyDescent="0.2">
      <c r="A278" s="13"/>
      <c r="B278" s="19"/>
      <c r="C278" s="34"/>
      <c r="D278" s="20"/>
      <c r="E278" s="2"/>
    </row>
    <row r="279" spans="1:5" x14ac:dyDescent="0.2">
      <c r="A279" s="13"/>
      <c r="B279" s="19"/>
      <c r="C279" s="34"/>
      <c r="D279" s="20"/>
      <c r="E279" s="2"/>
    </row>
    <row r="280" spans="1:5" x14ac:dyDescent="0.2">
      <c r="A280" s="13"/>
      <c r="B280" s="19"/>
      <c r="C280" s="34"/>
      <c r="D280" s="20"/>
      <c r="E280" s="2"/>
    </row>
    <row r="281" spans="1:5" x14ac:dyDescent="0.2">
      <c r="A281" s="13"/>
      <c r="B281" s="19"/>
      <c r="C281" s="34"/>
      <c r="D281" s="20"/>
      <c r="E281" s="2"/>
    </row>
    <row r="282" spans="1:5" x14ac:dyDescent="0.2">
      <c r="A282" s="13"/>
      <c r="B282" s="19"/>
      <c r="C282" s="34"/>
      <c r="D282" s="20"/>
      <c r="E282" s="2"/>
    </row>
    <row r="283" spans="1:5" x14ac:dyDescent="0.2">
      <c r="A283" s="13"/>
      <c r="B283" s="19"/>
      <c r="C283" s="34"/>
      <c r="D283" s="20"/>
      <c r="E283" s="2"/>
    </row>
    <row r="284" spans="1:5" x14ac:dyDescent="0.2">
      <c r="A284" s="13"/>
      <c r="B284" s="19"/>
      <c r="C284" s="34"/>
      <c r="D284" s="20"/>
      <c r="E284" s="2"/>
    </row>
    <row r="285" spans="1:5" x14ac:dyDescent="0.2">
      <c r="A285" s="13"/>
      <c r="B285" s="19"/>
      <c r="C285" s="34"/>
      <c r="D285" s="20"/>
      <c r="E285" s="2"/>
    </row>
    <row r="286" spans="1:5" x14ac:dyDescent="0.2">
      <c r="A286" s="13"/>
      <c r="B286" s="19"/>
      <c r="C286" s="34"/>
      <c r="D286" s="20"/>
      <c r="E286" s="2"/>
    </row>
    <row r="287" spans="1:5" x14ac:dyDescent="0.2">
      <c r="A287" s="13"/>
      <c r="B287" s="19"/>
      <c r="C287" s="34"/>
      <c r="D287" s="20"/>
      <c r="E287" s="2"/>
    </row>
    <row r="288" spans="1:5" x14ac:dyDescent="0.2">
      <c r="A288" s="13"/>
      <c r="B288" s="19"/>
      <c r="C288" s="34"/>
      <c r="D288" s="20"/>
      <c r="E288" s="2"/>
    </row>
    <row r="289" spans="1:5" x14ac:dyDescent="0.2">
      <c r="A289" s="13"/>
      <c r="B289" s="19"/>
      <c r="C289" s="34"/>
      <c r="D289" s="20"/>
      <c r="E289" s="2"/>
    </row>
    <row r="290" spans="1:5" x14ac:dyDescent="0.2">
      <c r="A290" s="13"/>
      <c r="B290" s="19"/>
      <c r="C290" s="34"/>
      <c r="D290" s="20"/>
      <c r="E290" s="2"/>
    </row>
    <row r="291" spans="1:5" x14ac:dyDescent="0.2">
      <c r="A291" s="13"/>
      <c r="B291" s="19"/>
      <c r="C291" s="34"/>
      <c r="D291" s="20"/>
      <c r="E291" s="2"/>
    </row>
    <row r="292" spans="1:5" x14ac:dyDescent="0.2">
      <c r="A292" s="13"/>
      <c r="B292" s="19"/>
      <c r="C292" s="34"/>
      <c r="D292" s="20"/>
      <c r="E292" s="2"/>
    </row>
    <row r="293" spans="1:5" x14ac:dyDescent="0.2">
      <c r="A293" s="13"/>
      <c r="B293" s="19"/>
      <c r="C293" s="34"/>
      <c r="D293" s="20"/>
      <c r="E293" s="2"/>
    </row>
    <row r="294" spans="1:5" x14ac:dyDescent="0.2">
      <c r="A294" s="13"/>
      <c r="B294" s="19"/>
      <c r="C294" s="34"/>
      <c r="D294" s="20"/>
      <c r="E294" s="2"/>
    </row>
    <row r="295" spans="1:5" x14ac:dyDescent="0.2">
      <c r="A295" s="13"/>
      <c r="B295" s="19"/>
      <c r="C295" s="34"/>
      <c r="D295" s="20"/>
      <c r="E295" s="2"/>
    </row>
    <row r="296" spans="1:5" x14ac:dyDescent="0.2">
      <c r="A296" s="13"/>
      <c r="B296" s="19"/>
      <c r="C296" s="34"/>
      <c r="D296" s="20"/>
      <c r="E296" s="2"/>
    </row>
    <row r="297" spans="1:5" x14ac:dyDescent="0.2">
      <c r="A297" s="13"/>
      <c r="B297" s="19"/>
      <c r="C297" s="34"/>
      <c r="D297" s="20"/>
      <c r="E297" s="2"/>
    </row>
    <row r="298" spans="1:5" x14ac:dyDescent="0.2">
      <c r="A298" s="13"/>
      <c r="B298" s="19"/>
      <c r="C298" s="34"/>
      <c r="D298" s="20"/>
      <c r="E298" s="2"/>
    </row>
    <row r="299" spans="1:5" x14ac:dyDescent="0.2">
      <c r="A299" s="13"/>
      <c r="B299" s="19"/>
      <c r="C299" s="34"/>
      <c r="D299" s="20"/>
      <c r="E299" s="2"/>
    </row>
    <row r="300" spans="1:5" x14ac:dyDescent="0.2">
      <c r="A300" s="13"/>
      <c r="B300" s="19"/>
      <c r="C300" s="34"/>
      <c r="D300" s="20"/>
      <c r="E300" s="2"/>
    </row>
    <row r="301" spans="1:5" x14ac:dyDescent="0.2">
      <c r="A301" s="13"/>
      <c r="B301" s="19"/>
      <c r="C301" s="34"/>
      <c r="D301" s="20"/>
      <c r="E301" s="2"/>
    </row>
    <row r="302" spans="1:5" x14ac:dyDescent="0.2">
      <c r="A302" s="13"/>
      <c r="B302" s="19"/>
      <c r="C302" s="34"/>
      <c r="D302" s="20"/>
      <c r="E302" s="2"/>
    </row>
    <row r="303" spans="1:5" x14ac:dyDescent="0.2">
      <c r="A303" s="13"/>
      <c r="B303" s="19"/>
      <c r="C303" s="34"/>
      <c r="D303" s="20"/>
      <c r="E303" s="2"/>
    </row>
    <row r="304" spans="1:5" x14ac:dyDescent="0.2">
      <c r="A304" s="13"/>
      <c r="B304" s="19"/>
      <c r="C304" s="34"/>
      <c r="D304" s="20"/>
      <c r="E304" s="2"/>
    </row>
    <row r="305" spans="1:5" x14ac:dyDescent="0.2">
      <c r="A305" s="13"/>
      <c r="B305" s="19"/>
      <c r="C305" s="34"/>
      <c r="D305" s="20"/>
      <c r="E305" s="2"/>
    </row>
    <row r="306" spans="1:5" x14ac:dyDescent="0.2">
      <c r="A306" s="13"/>
      <c r="B306" s="19"/>
      <c r="C306" s="34"/>
      <c r="D306" s="20"/>
      <c r="E306" s="2"/>
    </row>
    <row r="307" spans="1:5" x14ac:dyDescent="0.2">
      <c r="A307" s="13"/>
      <c r="B307" s="19"/>
      <c r="C307" s="34"/>
      <c r="D307" s="20"/>
      <c r="E307" s="2"/>
    </row>
    <row r="308" spans="1:5" x14ac:dyDescent="0.2">
      <c r="A308" s="13"/>
      <c r="B308" s="19"/>
      <c r="C308" s="34"/>
      <c r="D308" s="20"/>
      <c r="E308" s="2"/>
    </row>
    <row r="309" spans="1:5" x14ac:dyDescent="0.2">
      <c r="A309" s="13"/>
      <c r="B309" s="19"/>
      <c r="C309" s="34"/>
      <c r="D309" s="20"/>
      <c r="E309" s="2"/>
    </row>
    <row r="310" spans="1:5" x14ac:dyDescent="0.2">
      <c r="A310" s="13"/>
      <c r="B310" s="19"/>
      <c r="C310" s="34"/>
      <c r="D310" s="20"/>
      <c r="E310" s="2"/>
    </row>
    <row r="311" spans="1:5" x14ac:dyDescent="0.2">
      <c r="A311" s="13"/>
      <c r="B311" s="19"/>
      <c r="C311" s="34"/>
      <c r="D311" s="20"/>
      <c r="E311" s="2"/>
    </row>
    <row r="312" spans="1:5" x14ac:dyDescent="0.2">
      <c r="A312" s="13"/>
      <c r="B312" s="19"/>
      <c r="C312" s="34"/>
      <c r="D312" s="20"/>
      <c r="E312" s="2"/>
    </row>
    <row r="313" spans="1:5" x14ac:dyDescent="0.2">
      <c r="A313" s="13"/>
      <c r="B313" s="19"/>
      <c r="C313" s="34"/>
      <c r="D313" s="20"/>
      <c r="E313" s="2"/>
    </row>
    <row r="314" spans="1:5" x14ac:dyDescent="0.2">
      <c r="A314" s="13"/>
      <c r="B314" s="19"/>
      <c r="C314" s="34"/>
      <c r="D314" s="20"/>
      <c r="E314" s="2"/>
    </row>
    <row r="315" spans="1:5" x14ac:dyDescent="0.2">
      <c r="A315" s="13"/>
      <c r="B315" s="19"/>
      <c r="C315" s="34"/>
      <c r="D315" s="20"/>
      <c r="E315" s="2"/>
    </row>
    <row r="316" spans="1:5" x14ac:dyDescent="0.2">
      <c r="A316" s="13"/>
      <c r="B316" s="19"/>
      <c r="C316" s="34"/>
      <c r="D316" s="20"/>
      <c r="E316" s="2"/>
    </row>
    <row r="317" spans="1:5" x14ac:dyDescent="0.2">
      <c r="A317" s="13"/>
      <c r="B317" s="19"/>
      <c r="C317" s="34"/>
      <c r="D317" s="20"/>
      <c r="E317" s="2"/>
    </row>
    <row r="318" spans="1:5" x14ac:dyDescent="0.2">
      <c r="A318" s="13"/>
      <c r="B318" s="19"/>
      <c r="C318" s="34"/>
      <c r="D318" s="20"/>
      <c r="E318" s="2"/>
    </row>
    <row r="319" spans="1:5" x14ac:dyDescent="0.2">
      <c r="A319" s="13"/>
      <c r="B319" s="19"/>
      <c r="C319" s="34"/>
      <c r="D319" s="20"/>
      <c r="E319" s="2"/>
    </row>
    <row r="320" spans="1:5" x14ac:dyDescent="0.2">
      <c r="A320" s="13"/>
      <c r="B320" s="19"/>
      <c r="C320" s="34"/>
      <c r="D320" s="20"/>
      <c r="E320" s="2"/>
    </row>
    <row r="321" spans="1:5" x14ac:dyDescent="0.2">
      <c r="A321" s="13"/>
      <c r="B321" s="19"/>
      <c r="C321" s="34"/>
      <c r="D321" s="20"/>
      <c r="E321" s="2"/>
    </row>
    <row r="322" spans="1:5" x14ac:dyDescent="0.2">
      <c r="A322" s="13"/>
      <c r="B322" s="19"/>
      <c r="C322" s="34"/>
      <c r="D322" s="20"/>
      <c r="E322" s="2"/>
    </row>
    <row r="323" spans="1:5" x14ac:dyDescent="0.2">
      <c r="A323" s="13"/>
      <c r="B323" s="19"/>
      <c r="C323" s="34"/>
      <c r="D323" s="20"/>
      <c r="E323" s="2"/>
    </row>
    <row r="324" spans="1:5" x14ac:dyDescent="0.2">
      <c r="A324" s="13"/>
      <c r="B324" s="19"/>
      <c r="C324" s="34"/>
      <c r="D324" s="20"/>
      <c r="E324" s="2"/>
    </row>
    <row r="325" spans="1:5" x14ac:dyDescent="0.2">
      <c r="A325" s="13"/>
      <c r="B325" s="19"/>
      <c r="C325" s="34"/>
      <c r="D325" s="20"/>
      <c r="E325" s="2"/>
    </row>
    <row r="326" spans="1:5" x14ac:dyDescent="0.2">
      <c r="A326" s="13"/>
      <c r="B326" s="19"/>
      <c r="C326" s="34"/>
      <c r="D326" s="20"/>
      <c r="E326" s="2"/>
    </row>
    <row r="327" spans="1:5" x14ac:dyDescent="0.2">
      <c r="A327" s="13"/>
      <c r="B327" s="19"/>
      <c r="C327" s="34"/>
      <c r="D327" s="20"/>
      <c r="E327" s="2"/>
    </row>
    <row r="328" spans="1:5" x14ac:dyDescent="0.2">
      <c r="A328" s="13"/>
      <c r="B328" s="19"/>
      <c r="C328" s="34"/>
      <c r="D328" s="20"/>
      <c r="E328" s="2"/>
    </row>
    <row r="329" spans="1:5" x14ac:dyDescent="0.2">
      <c r="A329" s="13"/>
      <c r="B329" s="19"/>
      <c r="C329" s="34"/>
      <c r="D329" s="20"/>
      <c r="E329" s="2"/>
    </row>
    <row r="330" spans="1:5" x14ac:dyDescent="0.2">
      <c r="A330" s="13"/>
      <c r="B330" s="19"/>
      <c r="C330" s="34"/>
      <c r="D330" s="20"/>
      <c r="E330" s="2"/>
    </row>
    <row r="331" spans="1:5" x14ac:dyDescent="0.2">
      <c r="A331" s="13"/>
      <c r="B331" s="19"/>
      <c r="C331" s="34"/>
      <c r="D331" s="20"/>
      <c r="E331" s="2"/>
    </row>
    <row r="332" spans="1:5" x14ac:dyDescent="0.2">
      <c r="A332" s="13"/>
      <c r="B332" s="19"/>
      <c r="C332" s="34"/>
      <c r="D332" s="20"/>
      <c r="E332" s="2"/>
    </row>
    <row r="333" spans="1:5" x14ac:dyDescent="0.2">
      <c r="A333" s="13"/>
      <c r="B333" s="19"/>
      <c r="C333" s="34"/>
      <c r="D333" s="20"/>
      <c r="E333" s="2"/>
    </row>
    <row r="334" spans="1:5" x14ac:dyDescent="0.2">
      <c r="A334" s="13"/>
      <c r="B334" s="19"/>
      <c r="C334" s="34"/>
      <c r="D334" s="20"/>
      <c r="E334" s="2"/>
    </row>
    <row r="335" spans="1:5" x14ac:dyDescent="0.2">
      <c r="A335" s="13"/>
      <c r="B335" s="19"/>
      <c r="C335" s="34"/>
      <c r="D335" s="20"/>
      <c r="E335" s="2"/>
    </row>
    <row r="336" spans="1:5" x14ac:dyDescent="0.2">
      <c r="A336" s="13"/>
      <c r="B336" s="19"/>
      <c r="C336" s="34"/>
      <c r="D336" s="20"/>
      <c r="E336" s="2"/>
    </row>
    <row r="337" spans="1:5" x14ac:dyDescent="0.2">
      <c r="A337" s="13"/>
      <c r="B337" s="19"/>
      <c r="C337" s="34"/>
      <c r="D337" s="20"/>
      <c r="E337" s="2"/>
    </row>
    <row r="338" spans="1:5" x14ac:dyDescent="0.2">
      <c r="A338" s="13"/>
      <c r="B338" s="19"/>
      <c r="C338" s="34"/>
      <c r="D338" s="20"/>
      <c r="E338" s="2"/>
    </row>
    <row r="339" spans="1:5" x14ac:dyDescent="0.2">
      <c r="A339" s="13"/>
      <c r="B339" s="19"/>
      <c r="C339" s="34"/>
      <c r="D339" s="20"/>
      <c r="E339" s="2"/>
    </row>
    <row r="340" spans="1:5" x14ac:dyDescent="0.2">
      <c r="A340" s="13"/>
      <c r="B340" s="19"/>
      <c r="C340" s="34"/>
      <c r="D340" s="20"/>
      <c r="E340" s="2"/>
    </row>
    <row r="341" spans="1:5" x14ac:dyDescent="0.2">
      <c r="A341" s="13"/>
      <c r="B341" s="19"/>
      <c r="C341" s="34"/>
      <c r="D341" s="20"/>
      <c r="E341" s="2"/>
    </row>
    <row r="342" spans="1:5" x14ac:dyDescent="0.2">
      <c r="A342" s="13"/>
      <c r="B342" s="19"/>
      <c r="C342" s="34"/>
      <c r="D342" s="20"/>
      <c r="E342" s="2"/>
    </row>
    <row r="343" spans="1:5" x14ac:dyDescent="0.2">
      <c r="A343" s="13"/>
      <c r="B343" s="19"/>
      <c r="C343" s="34"/>
      <c r="D343" s="20"/>
      <c r="E343" s="2"/>
    </row>
    <row r="344" spans="1:5" x14ac:dyDescent="0.2">
      <c r="A344" s="13"/>
      <c r="B344" s="19"/>
      <c r="C344" s="34"/>
      <c r="D344" s="20"/>
      <c r="E344" s="2"/>
    </row>
    <row r="345" spans="1:5" x14ac:dyDescent="0.2">
      <c r="A345" s="13"/>
      <c r="B345" s="19"/>
      <c r="C345" s="34"/>
      <c r="D345" s="20"/>
      <c r="E345" s="2"/>
    </row>
    <row r="346" spans="1:5" x14ac:dyDescent="0.2">
      <c r="A346" s="13"/>
      <c r="B346" s="19"/>
      <c r="C346" s="34"/>
      <c r="D346" s="20"/>
      <c r="E346" s="2"/>
    </row>
    <row r="347" spans="1:5" x14ac:dyDescent="0.2">
      <c r="A347" s="13"/>
      <c r="B347" s="19"/>
      <c r="C347" s="34"/>
      <c r="D347" s="20"/>
      <c r="E347" s="2"/>
    </row>
    <row r="348" spans="1:5" x14ac:dyDescent="0.2">
      <c r="A348" s="13"/>
      <c r="B348" s="19"/>
      <c r="C348" s="34"/>
      <c r="D348" s="20"/>
      <c r="E348" s="2"/>
    </row>
    <row r="349" spans="1:5" x14ac:dyDescent="0.2">
      <c r="A349" s="13"/>
      <c r="B349" s="19"/>
      <c r="C349" s="34"/>
      <c r="D349" s="20"/>
      <c r="E349" s="2"/>
    </row>
    <row r="350" spans="1:5" x14ac:dyDescent="0.2">
      <c r="A350" s="13"/>
      <c r="B350" s="19"/>
      <c r="C350" s="34"/>
      <c r="D350" s="20"/>
      <c r="E350" s="2"/>
    </row>
    <row r="351" spans="1:5" x14ac:dyDescent="0.2">
      <c r="A351" s="13"/>
      <c r="B351" s="19"/>
      <c r="C351" s="34"/>
      <c r="D351" s="20"/>
      <c r="E351" s="2"/>
    </row>
    <row r="352" spans="1:5" x14ac:dyDescent="0.2">
      <c r="A352" s="13"/>
      <c r="B352" s="19"/>
      <c r="C352" s="34"/>
      <c r="D352" s="20"/>
      <c r="E352" s="2"/>
    </row>
    <row r="353" spans="1:5" x14ac:dyDescent="0.2">
      <c r="A353" s="13"/>
      <c r="B353" s="19"/>
      <c r="C353" s="34"/>
      <c r="D353" s="20"/>
      <c r="E353" s="2"/>
    </row>
    <row r="354" spans="1:5" x14ac:dyDescent="0.2">
      <c r="A354" s="13"/>
      <c r="B354" s="19"/>
      <c r="C354" s="34"/>
      <c r="D354" s="20"/>
      <c r="E354" s="2"/>
    </row>
    <row r="355" spans="1:5" x14ac:dyDescent="0.2">
      <c r="A355" s="13"/>
      <c r="B355" s="19"/>
      <c r="C355" s="34"/>
      <c r="D355" s="20"/>
      <c r="E355" s="2"/>
    </row>
    <row r="356" spans="1:5" x14ac:dyDescent="0.2">
      <c r="A356" s="13"/>
      <c r="B356" s="19"/>
      <c r="C356" s="34"/>
      <c r="D356" s="20"/>
      <c r="E356" s="2"/>
    </row>
    <row r="357" spans="1:5" x14ac:dyDescent="0.2">
      <c r="A357" s="13"/>
      <c r="B357" s="19"/>
      <c r="C357" s="34"/>
      <c r="D357" s="20"/>
      <c r="E357" s="2"/>
    </row>
    <row r="358" spans="1:5" x14ac:dyDescent="0.2">
      <c r="A358" s="13"/>
      <c r="B358" s="19"/>
      <c r="C358" s="34"/>
      <c r="D358" s="20"/>
      <c r="E358" s="2"/>
    </row>
    <row r="359" spans="1:5" x14ac:dyDescent="0.2">
      <c r="A359" s="13"/>
      <c r="B359" s="19"/>
      <c r="C359" s="34"/>
      <c r="D359" s="20"/>
      <c r="E359" s="2"/>
    </row>
    <row r="360" spans="1:5" x14ac:dyDescent="0.2">
      <c r="A360" s="13"/>
      <c r="B360" s="19"/>
      <c r="C360" s="34"/>
      <c r="D360" s="20"/>
      <c r="E360" s="2"/>
    </row>
    <row r="361" spans="1:5" x14ac:dyDescent="0.2">
      <c r="A361" s="13"/>
      <c r="B361" s="19"/>
      <c r="C361" s="34"/>
      <c r="D361" s="20"/>
      <c r="E361" s="2"/>
    </row>
    <row r="362" spans="1:5" x14ac:dyDescent="0.2">
      <c r="A362" s="13"/>
      <c r="B362" s="19"/>
      <c r="C362" s="34"/>
      <c r="D362" s="20"/>
      <c r="E362" s="2"/>
    </row>
    <row r="363" spans="1:5" x14ac:dyDescent="0.2">
      <c r="A363" s="13"/>
      <c r="B363" s="19"/>
      <c r="C363" s="34"/>
      <c r="D363" s="20"/>
      <c r="E363" s="2"/>
    </row>
    <row r="364" spans="1:5" x14ac:dyDescent="0.2">
      <c r="A364" s="13"/>
      <c r="B364" s="19"/>
      <c r="C364" s="34"/>
      <c r="D364" s="20"/>
      <c r="E364" s="2"/>
    </row>
    <row r="365" spans="1:5" x14ac:dyDescent="0.2">
      <c r="A365" s="13"/>
      <c r="B365" s="19"/>
      <c r="C365" s="34"/>
      <c r="D365" s="20"/>
      <c r="E365" s="2"/>
    </row>
    <row r="366" spans="1:5" x14ac:dyDescent="0.2">
      <c r="A366" s="13"/>
      <c r="B366" s="19"/>
      <c r="C366" s="34"/>
      <c r="D366" s="20"/>
      <c r="E366" s="2"/>
    </row>
    <row r="367" spans="1:5" x14ac:dyDescent="0.2">
      <c r="A367" s="13"/>
      <c r="B367" s="19"/>
      <c r="C367" s="34"/>
      <c r="D367" s="20"/>
      <c r="E367" s="2"/>
    </row>
    <row r="368" spans="1:5" x14ac:dyDescent="0.2">
      <c r="A368" s="13"/>
      <c r="B368" s="19"/>
      <c r="C368" s="34"/>
      <c r="D368" s="20"/>
      <c r="E368" s="2"/>
    </row>
    <row r="369" spans="1:5" x14ac:dyDescent="0.2">
      <c r="A369" s="13"/>
      <c r="B369" s="19"/>
      <c r="C369" s="34"/>
      <c r="D369" s="20"/>
      <c r="E369" s="2"/>
    </row>
    <row r="370" spans="1:5" x14ac:dyDescent="0.2">
      <c r="A370" s="13"/>
      <c r="B370" s="19"/>
      <c r="C370" s="34"/>
      <c r="D370" s="20"/>
      <c r="E370" s="2"/>
    </row>
    <row r="371" spans="1:5" x14ac:dyDescent="0.2">
      <c r="A371" s="13"/>
      <c r="B371" s="19"/>
      <c r="C371" s="34"/>
      <c r="D371" s="20"/>
      <c r="E371" s="2"/>
    </row>
    <row r="372" spans="1:5" x14ac:dyDescent="0.2">
      <c r="A372" s="13"/>
      <c r="B372" s="19"/>
      <c r="C372" s="34"/>
      <c r="D372" s="20"/>
      <c r="E372" s="2"/>
    </row>
    <row r="373" spans="1:5" x14ac:dyDescent="0.2">
      <c r="A373" s="13"/>
      <c r="B373" s="19"/>
      <c r="C373" s="34"/>
      <c r="D373" s="20"/>
      <c r="E373" s="2"/>
    </row>
    <row r="374" spans="1:5" x14ac:dyDescent="0.2">
      <c r="A374" s="13"/>
      <c r="B374" s="19"/>
      <c r="C374" s="34"/>
      <c r="D374" s="20"/>
      <c r="E374" s="2"/>
    </row>
    <row r="375" spans="1:5" x14ac:dyDescent="0.2">
      <c r="A375" s="13"/>
      <c r="B375" s="19"/>
      <c r="C375" s="34"/>
      <c r="D375" s="20"/>
      <c r="E375" s="2"/>
    </row>
    <row r="376" spans="1:5" x14ac:dyDescent="0.2">
      <c r="B376" s="19"/>
      <c r="C376" s="34"/>
      <c r="D376" s="20"/>
      <c r="E376" s="2"/>
    </row>
    <row r="377" spans="1:5" x14ac:dyDescent="0.2">
      <c r="B377" s="7"/>
      <c r="C377" s="34"/>
      <c r="D377" s="20"/>
      <c r="E377" s="2"/>
    </row>
  </sheetData>
  <sortState ref="C12:C61">
    <sortCondition ref="C12"/>
  </sortState>
  <phoneticPr fontId="1" type="noConversion"/>
  <pageMargins left="0.75" right="0.75" top="1" bottom="1" header="0.5" footer="0.5"/>
  <pageSetup orientation="portrait" verticalDpi="0" r:id="rId1"/>
  <headerFooter alignWithMargins="0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workbookViewId="0">
      <selection activeCell="E43" sqref="E43"/>
    </sheetView>
  </sheetViews>
  <sheetFormatPr defaultRowHeight="12.75" x14ac:dyDescent="0.2"/>
  <sheetData/>
  <phoneticPr fontId="1" type="noConversion"/>
  <pageMargins left="0.75" right="0.75" top="1" bottom="1" header="0.5" footer="0.5"/>
  <headerFooter alignWithMargins="0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I1003"/>
  <sheetViews>
    <sheetView workbookViewId="0">
      <selection activeCell="B52" sqref="B52:G52"/>
    </sheetView>
  </sheetViews>
  <sheetFormatPr defaultRowHeight="12.75" x14ac:dyDescent="0.2"/>
  <cols>
    <col min="1" max="1" width="10.28515625" style="61" bestFit="1" customWidth="1"/>
    <col min="2" max="2" width="6.5703125" style="51" bestFit="1" customWidth="1"/>
    <col min="3" max="3" width="16.85546875" style="51" customWidth="1"/>
    <col min="4" max="4" width="9.140625" style="51"/>
    <col min="5" max="5" width="10.28515625" style="51" customWidth="1"/>
    <col min="6" max="6" width="12.42578125" style="65" bestFit="1" customWidth="1"/>
    <col min="7" max="7" width="11" style="51" customWidth="1"/>
    <col min="8" max="8" width="13.5703125" style="51" customWidth="1"/>
    <col min="9" max="16384" width="9.140625" style="51"/>
  </cols>
  <sheetData>
    <row r="1" spans="1:9" ht="13.5" thickBot="1" x14ac:dyDescent="0.25">
      <c r="A1" s="40"/>
      <c r="B1" s="43" t="s">
        <v>21</v>
      </c>
      <c r="C1" s="70" t="s">
        <v>22</v>
      </c>
      <c r="D1" s="70"/>
      <c r="E1" s="70"/>
      <c r="F1" s="41"/>
      <c r="G1" s="42"/>
    </row>
    <row r="2" spans="1:9" ht="30" customHeight="1" thickBot="1" x14ac:dyDescent="0.25">
      <c r="A2" s="67" t="s">
        <v>16</v>
      </c>
      <c r="B2" s="47" t="s">
        <v>14</v>
      </c>
      <c r="C2" s="48" t="s">
        <v>19</v>
      </c>
      <c r="D2" s="48" t="s">
        <v>15</v>
      </c>
      <c r="E2" s="48" t="s">
        <v>20</v>
      </c>
      <c r="F2" s="49" t="s">
        <v>18</v>
      </c>
      <c r="G2" s="50" t="s">
        <v>17</v>
      </c>
      <c r="H2" s="66" t="s">
        <v>23</v>
      </c>
      <c r="I2" s="52">
        <f ca="1">COUNTIF(G3:G51,"&gt;0")</f>
        <v>1</v>
      </c>
    </row>
    <row r="3" spans="1:9" ht="13.5" thickBot="1" x14ac:dyDescent="0.25">
      <c r="A3" s="53">
        <v>1</v>
      </c>
      <c r="B3" s="56">
        <f ca="1">_xll.PsiIntUniform(1,12)</f>
        <v>10</v>
      </c>
      <c r="C3" s="56">
        <f ca="1">IF(OR(B3=1, B3 = 3, B3 = 5, B3 = 7, B3 = 8, B3 = 10, B3 = 12),_xll.PsiIntUniform(1,31),0)</f>
        <v>7</v>
      </c>
      <c r="D3" s="56">
        <f ca="1">IF(B3=2, _xll.PsiIntUniform(1,28),0)</f>
        <v>0</v>
      </c>
      <c r="E3" s="56">
        <f ca="1">IF(OR(B3 = 4, B3 = 6, B3 =9, B3 = 11), _xll.PsiIntUniform(1,30),0)</f>
        <v>0</v>
      </c>
      <c r="F3" s="57" t="str">
        <f t="shared" ref="F3" ca="1" si="0">CONCATENATE(B3,C3,D3,E3)</f>
        <v>10700</v>
      </c>
      <c r="G3" s="58">
        <f ca="1">IFERROR(MATCH(F3,F4:$F$52,0),0)</f>
        <v>0</v>
      </c>
      <c r="H3" s="54"/>
    </row>
    <row r="4" spans="1:9" x14ac:dyDescent="0.2">
      <c r="A4" s="55">
        <v>2</v>
      </c>
      <c r="B4" s="56">
        <f ca="1">_xll.PsiIntUniform(1,12)</f>
        <v>6</v>
      </c>
      <c r="C4" s="56">
        <f ca="1">IF(OR(B4=1, B4 = 3, B4 = 5, B4 = 7, B4 = 8, B4 = 10, B4 = 12),_xll.PsiIntUniform(1,31),0)</f>
        <v>0</v>
      </c>
      <c r="D4" s="56">
        <f ca="1">IF(B4=2, _xll.PsiIntUniform(1,28),0)</f>
        <v>0</v>
      </c>
      <c r="E4" s="56">
        <f ca="1">IF(OR(B4 = 4, B4 = 6, B4 =9, B4 = 11), _xll.PsiIntUniform(1,30),0)</f>
        <v>7</v>
      </c>
      <c r="F4" s="57" t="str">
        <f t="shared" ref="F4" ca="1" si="1">CONCATENATE(B4,C4,D4,E4)</f>
        <v>6007</v>
      </c>
      <c r="G4" s="58">
        <f ca="1">IFERROR(MATCH(F4,F5:$F$52,0),0)</f>
        <v>0</v>
      </c>
      <c r="H4" s="44" t="s">
        <v>25</v>
      </c>
    </row>
    <row r="5" spans="1:9" ht="13.5" thickBot="1" x14ac:dyDescent="0.25">
      <c r="A5" s="55">
        <v>3</v>
      </c>
      <c r="B5" s="56">
        <f ca="1">_xll.PsiIntUniform(1,12)</f>
        <v>4</v>
      </c>
      <c r="C5" s="56">
        <f ca="1">IF(OR(B5=1, B5 = 3, B5 = 5, B5 = 7, B5 = 8, B5 = 10, B5 = 12),_xll.PsiIntUniform(1,31),0)</f>
        <v>0</v>
      </c>
      <c r="D5" s="56">
        <f ca="1">IF(B5=2, _xll.PsiIntUniform(1,28),0)</f>
        <v>0</v>
      </c>
      <c r="E5" s="56">
        <f ca="1">IF(OR(B5 = 4, B5 = 6, B5 =9, B5 = 11), _xll.PsiIntUniform(1,30),0)</f>
        <v>28</v>
      </c>
      <c r="F5" s="57" t="str">
        <f t="shared" ref="F5" ca="1" si="2">CONCATENATE(B5,C5,D5,E5)</f>
        <v>40028</v>
      </c>
      <c r="G5" s="58">
        <f ca="1">IFERROR(MATCH(F5,F6:$F$52,0),0)</f>
        <v>0</v>
      </c>
      <c r="H5" s="45" t="s">
        <v>24</v>
      </c>
      <c r="I5" s="59">
        <f ca="1">IF(I2&gt;0,1,0) + _xll.PsiOutput()</f>
        <v>1</v>
      </c>
    </row>
    <row r="6" spans="1:9" ht="13.5" thickBot="1" x14ac:dyDescent="0.25">
      <c r="A6" s="55">
        <v>4</v>
      </c>
      <c r="B6" s="56">
        <f ca="1">_xll.PsiIntUniform(1,12)</f>
        <v>11</v>
      </c>
      <c r="C6" s="56">
        <f ca="1">IF(OR(B6=1, B6 = 3, B6 = 5, B6 = 7, B6 = 8, B6 = 10, B6 = 12),_xll.PsiIntUniform(1,31),0)</f>
        <v>0</v>
      </c>
      <c r="D6" s="56">
        <f ca="1">IF(B6=2, _xll.PsiIntUniform(1,28),0)</f>
        <v>0</v>
      </c>
      <c r="E6" s="56">
        <f ca="1">IF(OR(B6 = 4, B6 = 6, B6 =9, B6 = 11), _xll.PsiIntUniform(1,30),0)</f>
        <v>29</v>
      </c>
      <c r="F6" s="57" t="str">
        <f t="shared" ref="F6" ca="1" si="3">CONCATENATE(B6,C6,D6,E6)</f>
        <v>110029</v>
      </c>
      <c r="G6" s="58">
        <f ca="1">IFERROR(MATCH(F6,F7:$F$52,0),0)</f>
        <v>0</v>
      </c>
      <c r="H6" s="54"/>
    </row>
    <row r="7" spans="1:9" ht="13.5" thickBot="1" x14ac:dyDescent="0.25">
      <c r="A7" s="55">
        <v>5</v>
      </c>
      <c r="B7" s="56">
        <f ca="1">_xll.PsiIntUniform(1,12)</f>
        <v>1</v>
      </c>
      <c r="C7" s="56">
        <f ca="1">IF(OR(B7=1, B7 = 3, B7 = 5, B7 = 7, B7 = 8, B7 = 10, B7 = 12),_xll.PsiIntUniform(1,31),0)</f>
        <v>14</v>
      </c>
      <c r="D7" s="56">
        <f ca="1">IF(B7=2, _xll.PsiIntUniform(1,28),0)</f>
        <v>0</v>
      </c>
      <c r="E7" s="56">
        <f ca="1">IF(OR(B7 = 4, B7 = 6, B7 =9, B7 = 11), _xll.PsiIntUniform(1,30),0)</f>
        <v>0</v>
      </c>
      <c r="F7" s="57" t="str">
        <f t="shared" ref="F7" ca="1" si="4">CONCATENATE(B7,C7,D7,E7)</f>
        <v>11400</v>
      </c>
      <c r="G7" s="58">
        <f ca="1">IFERROR(MATCH(F7,F8:$F$52,0),0)</f>
        <v>0</v>
      </c>
      <c r="H7" s="46" t="s">
        <v>26</v>
      </c>
      <c r="I7" s="59">
        <f ca="1">_xll.PsiMean(I5)</f>
        <v>0.98</v>
      </c>
    </row>
    <row r="8" spans="1:9" x14ac:dyDescent="0.2">
      <c r="A8" s="55">
        <v>6</v>
      </c>
      <c r="B8" s="56">
        <f ca="1">_xll.PsiIntUniform(1,12)</f>
        <v>12</v>
      </c>
      <c r="C8" s="56">
        <f ca="1">IF(OR(B8=1, B8 = 3, B8 = 5, B8 = 7, B8 = 8, B8 = 10, B8 = 12),_xll.PsiIntUniform(1,31),0)</f>
        <v>27</v>
      </c>
      <c r="D8" s="56">
        <f ca="1">IF(B8=2, _xll.PsiIntUniform(1,28),0)</f>
        <v>0</v>
      </c>
      <c r="E8" s="56">
        <f ca="1">IF(OR(B8 = 4, B8 = 6, B8 =9, B8 = 11), _xll.PsiIntUniform(1,30),0)</f>
        <v>0</v>
      </c>
      <c r="F8" s="57" t="str">
        <f t="shared" ref="F8" ca="1" si="5">CONCATENATE(B8,C8,D8,E8)</f>
        <v>122700</v>
      </c>
      <c r="G8" s="58">
        <f ca="1">IFERROR(MATCH(F8,F9:$F$52,0),0)</f>
        <v>0</v>
      </c>
    </row>
    <row r="9" spans="1:9" x14ac:dyDescent="0.2">
      <c r="A9" s="55">
        <v>7</v>
      </c>
      <c r="B9" s="56">
        <f ca="1">_xll.PsiIntUniform(1,12)</f>
        <v>11</v>
      </c>
      <c r="C9" s="56">
        <f ca="1">IF(OR(B9=1, B9 = 3, B9 = 5, B9 = 7, B9 = 8, B9 = 10, B9 = 12),_xll.PsiIntUniform(1,31),0)</f>
        <v>0</v>
      </c>
      <c r="D9" s="56">
        <f ca="1">IF(B9=2, _xll.PsiIntUniform(1,28),0)</f>
        <v>0</v>
      </c>
      <c r="E9" s="56">
        <f ca="1">IF(OR(B9 = 4, B9 = 6, B9 =9, B9 = 11), _xll.PsiIntUniform(1,30),0)</f>
        <v>17</v>
      </c>
      <c r="F9" s="57" t="str">
        <f t="shared" ref="F9" ca="1" si="6">CONCATENATE(B9,C9,D9,E9)</f>
        <v>110017</v>
      </c>
      <c r="G9" s="58">
        <f ca="1">IFERROR(MATCH(F9,F10:$F$52,0),0)</f>
        <v>0</v>
      </c>
    </row>
    <row r="10" spans="1:9" x14ac:dyDescent="0.2">
      <c r="A10" s="55">
        <v>8</v>
      </c>
      <c r="B10" s="56">
        <f ca="1">_xll.PsiIntUniform(1,12)</f>
        <v>6</v>
      </c>
      <c r="C10" s="56">
        <f ca="1">IF(OR(B10=1, B10 = 3, B10 = 5, B10 = 7, B10 = 8, B10 = 10, B10 = 12),_xll.PsiIntUniform(1,31),0)</f>
        <v>0</v>
      </c>
      <c r="D10" s="56">
        <f ca="1">IF(B10=2, _xll.PsiIntUniform(1,28),0)</f>
        <v>0</v>
      </c>
      <c r="E10" s="56">
        <f ca="1">IF(OR(B10 = 4, B10 = 6, B10 =9, B10 = 11), _xll.PsiIntUniform(1,30),0)</f>
        <v>24</v>
      </c>
      <c r="F10" s="57" t="str">
        <f t="shared" ref="F10" ca="1" si="7">CONCATENATE(B10,C10,D10,E10)</f>
        <v>60024</v>
      </c>
      <c r="G10" s="58">
        <f ca="1">IFERROR(MATCH(F10,F11:$F$52,0),0)</f>
        <v>0</v>
      </c>
    </row>
    <row r="11" spans="1:9" x14ac:dyDescent="0.2">
      <c r="A11" s="55">
        <v>9</v>
      </c>
      <c r="B11" s="56">
        <f ca="1">_xll.PsiIntUniform(1,12)</f>
        <v>7</v>
      </c>
      <c r="C11" s="56">
        <f ca="1">IF(OR(B11=1, B11 = 3, B11 = 5, B11 = 7, B11 = 8, B11 = 10, B11 = 12),_xll.PsiIntUniform(1,31),0)</f>
        <v>22</v>
      </c>
      <c r="D11" s="56">
        <f ca="1">IF(B11=2, _xll.PsiIntUniform(1,28),0)</f>
        <v>0</v>
      </c>
      <c r="E11" s="56">
        <f ca="1">IF(OR(B11 = 4, B11 = 6, B11 =9, B11 = 11), _xll.PsiIntUniform(1,30),0)</f>
        <v>0</v>
      </c>
      <c r="F11" s="57" t="str">
        <f t="shared" ref="F11" ca="1" si="8">CONCATENATE(B11,C11,D11,E11)</f>
        <v>72200</v>
      </c>
      <c r="G11" s="58">
        <f ca="1">IFERROR(MATCH(F11,F12:$F$52,0),0)</f>
        <v>0</v>
      </c>
    </row>
    <row r="12" spans="1:9" x14ac:dyDescent="0.2">
      <c r="A12" s="55">
        <v>10</v>
      </c>
      <c r="B12" s="56">
        <f ca="1">_xll.PsiIntUniform(1,12)</f>
        <v>7</v>
      </c>
      <c r="C12" s="56">
        <f ca="1">IF(OR(B12=1, B12 = 3, B12 = 5, B12 = 7, B12 = 8, B12 = 10, B12 = 12),_xll.PsiIntUniform(1,31),0)</f>
        <v>16</v>
      </c>
      <c r="D12" s="56">
        <f ca="1">IF(B12=2, _xll.PsiIntUniform(1,28),0)</f>
        <v>0</v>
      </c>
      <c r="E12" s="56">
        <f ca="1">IF(OR(B12 = 4, B12 = 6, B12 =9, B12 = 11), _xll.PsiIntUniform(1,30),0)</f>
        <v>0</v>
      </c>
      <c r="F12" s="57" t="str">
        <f t="shared" ref="F12" ca="1" si="9">CONCATENATE(B12,C12,D12,E12)</f>
        <v>71600</v>
      </c>
      <c r="G12" s="58">
        <f ca="1">IFERROR(MATCH(F12,F13:$F$52,0),0)</f>
        <v>0</v>
      </c>
    </row>
    <row r="13" spans="1:9" x14ac:dyDescent="0.2">
      <c r="A13" s="55">
        <v>11</v>
      </c>
      <c r="B13" s="56">
        <f ca="1">_xll.PsiIntUniform(1,12)</f>
        <v>5</v>
      </c>
      <c r="C13" s="56">
        <f ca="1">IF(OR(B13=1, B13 = 3, B13 = 5, B13 = 7, B13 = 8, B13 = 10, B13 = 12),_xll.PsiIntUniform(1,31),0)</f>
        <v>7</v>
      </c>
      <c r="D13" s="56">
        <f ca="1">IF(B13=2, _xll.PsiIntUniform(1,28),0)</f>
        <v>0</v>
      </c>
      <c r="E13" s="56">
        <f ca="1">IF(OR(B13 = 4, B13 = 6, B13 =9, B13 = 11), _xll.PsiIntUniform(1,30),0)</f>
        <v>0</v>
      </c>
      <c r="F13" s="57" t="str">
        <f t="shared" ref="F13" ca="1" si="10">CONCATENATE(B13,C13,D13,E13)</f>
        <v>5700</v>
      </c>
      <c r="G13" s="58">
        <f ca="1">IFERROR(MATCH(F13,F14:$F$52,0),0)</f>
        <v>0</v>
      </c>
    </row>
    <row r="14" spans="1:9" x14ac:dyDescent="0.2">
      <c r="A14" s="55">
        <v>12</v>
      </c>
      <c r="B14" s="56">
        <f ca="1">_xll.PsiIntUniform(1,12)</f>
        <v>9</v>
      </c>
      <c r="C14" s="56">
        <f ca="1">IF(OR(B14=1, B14 = 3, B14 = 5, B14 = 7, B14 = 8, B14 = 10, B14 = 12),_xll.PsiIntUniform(1,31),0)</f>
        <v>0</v>
      </c>
      <c r="D14" s="56">
        <f ca="1">IF(B14=2, _xll.PsiIntUniform(1,28),0)</f>
        <v>0</v>
      </c>
      <c r="E14" s="56">
        <f ca="1">IF(OR(B14 = 4, B14 = 6, B14 =9, B14 = 11), _xll.PsiIntUniform(1,30),0)</f>
        <v>24</v>
      </c>
      <c r="F14" s="57" t="str">
        <f t="shared" ref="F14" ca="1" si="11">CONCATENATE(B14,C14,D14,E14)</f>
        <v>90024</v>
      </c>
      <c r="G14" s="58">
        <f ca="1">IFERROR(MATCH(F14,F15:$F$52,0),0)</f>
        <v>0</v>
      </c>
    </row>
    <row r="15" spans="1:9" x14ac:dyDescent="0.2">
      <c r="A15" s="55">
        <v>13</v>
      </c>
      <c r="B15" s="56">
        <f ca="1">_xll.PsiIntUniform(1,12)</f>
        <v>3</v>
      </c>
      <c r="C15" s="56">
        <f ca="1">IF(OR(B15=1, B15 = 3, B15 = 5, B15 = 7, B15 = 8, B15 = 10, B15 = 12),_xll.PsiIntUniform(1,31),0)</f>
        <v>17</v>
      </c>
      <c r="D15" s="56">
        <f ca="1">IF(B15=2, _xll.PsiIntUniform(1,28),0)</f>
        <v>0</v>
      </c>
      <c r="E15" s="56">
        <f ca="1">IF(OR(B15 = 4, B15 = 6, B15 =9, B15 = 11), _xll.PsiIntUniform(1,30),0)</f>
        <v>0</v>
      </c>
      <c r="F15" s="57" t="str">
        <f t="shared" ref="F15" ca="1" si="12">CONCATENATE(B15,C15,D15,E15)</f>
        <v>31700</v>
      </c>
      <c r="G15" s="58">
        <f ca="1">IFERROR(MATCH(F15,F16:$F$52,0),0)</f>
        <v>0</v>
      </c>
    </row>
    <row r="16" spans="1:9" x14ac:dyDescent="0.2">
      <c r="A16" s="55">
        <v>14</v>
      </c>
      <c r="B16" s="56">
        <f ca="1">_xll.PsiIntUniform(1,12)</f>
        <v>6</v>
      </c>
      <c r="C16" s="56">
        <f ca="1">IF(OR(B16=1, B16 = 3, B16 = 5, B16 = 7, B16 = 8, B16 = 10, B16 = 12),_xll.PsiIntUniform(1,31),0)</f>
        <v>0</v>
      </c>
      <c r="D16" s="56">
        <f ca="1">IF(B16=2, _xll.PsiIntUniform(1,28),0)</f>
        <v>0</v>
      </c>
      <c r="E16" s="56">
        <f ca="1">IF(OR(B16 = 4, B16 = 6, B16 =9, B16 = 11), _xll.PsiIntUniform(1,30),0)</f>
        <v>28</v>
      </c>
      <c r="F16" s="57" t="str">
        <f t="shared" ref="F16" ca="1" si="13">CONCATENATE(B16,C16,D16,E16)</f>
        <v>60028</v>
      </c>
      <c r="G16" s="58">
        <f ca="1">IFERROR(MATCH(F16,F17:$F$52,0),0)</f>
        <v>0</v>
      </c>
    </row>
    <row r="17" spans="1:7" x14ac:dyDescent="0.2">
      <c r="A17" s="55">
        <v>15</v>
      </c>
      <c r="B17" s="56">
        <f ca="1">_xll.PsiIntUniform(1,12)</f>
        <v>9</v>
      </c>
      <c r="C17" s="56">
        <f ca="1">IF(OR(B17=1, B17 = 3, B17 = 5, B17 = 7, B17 = 8, B17 = 10, B17 = 12),_xll.PsiIntUniform(1,31),0)</f>
        <v>0</v>
      </c>
      <c r="D17" s="56">
        <f ca="1">IF(B17=2, _xll.PsiIntUniform(1,28),0)</f>
        <v>0</v>
      </c>
      <c r="E17" s="56">
        <f ca="1">IF(OR(B17 = 4, B17 = 6, B17 =9, B17 = 11), _xll.PsiIntUniform(1,30),0)</f>
        <v>3</v>
      </c>
      <c r="F17" s="57" t="str">
        <f t="shared" ref="F17" ca="1" si="14">CONCATENATE(B17,C17,D17,E17)</f>
        <v>9003</v>
      </c>
      <c r="G17" s="58">
        <f ca="1">IFERROR(MATCH(F17,F18:$F$52,0),0)</f>
        <v>0</v>
      </c>
    </row>
    <row r="18" spans="1:7" x14ac:dyDescent="0.2">
      <c r="A18" s="55">
        <v>16</v>
      </c>
      <c r="B18" s="56">
        <f ca="1">_xll.PsiIntUniform(1,12)</f>
        <v>6</v>
      </c>
      <c r="C18" s="56">
        <f ca="1">IF(OR(B18=1, B18 = 3, B18 = 5, B18 = 7, B18 = 8, B18 = 10, B18 = 12),_xll.PsiIntUniform(1,31),0)</f>
        <v>0</v>
      </c>
      <c r="D18" s="56">
        <f ca="1">IF(B18=2, _xll.PsiIntUniform(1,28),0)</f>
        <v>0</v>
      </c>
      <c r="E18" s="56">
        <f ca="1">IF(OR(B18 = 4, B18 = 6, B18 =9, B18 = 11), _xll.PsiIntUniform(1,30),0)</f>
        <v>22</v>
      </c>
      <c r="F18" s="57" t="str">
        <f t="shared" ref="F18" ca="1" si="15">CONCATENATE(B18,C18,D18,E18)</f>
        <v>60022</v>
      </c>
      <c r="G18" s="58">
        <f ca="1">IFERROR(MATCH(F18,F19:$F$52,0),0)</f>
        <v>0</v>
      </c>
    </row>
    <row r="19" spans="1:7" x14ac:dyDescent="0.2">
      <c r="A19" s="55">
        <v>17</v>
      </c>
      <c r="B19" s="56">
        <f ca="1">_xll.PsiIntUniform(1,12)</f>
        <v>7</v>
      </c>
      <c r="C19" s="56">
        <f ca="1">IF(OR(B19=1, B19 = 3, B19 = 5, B19 = 7, B19 = 8, B19 = 10, B19 = 12),_xll.PsiIntUniform(1,31),0)</f>
        <v>31</v>
      </c>
      <c r="D19" s="56">
        <f ca="1">IF(B19=2, _xll.PsiIntUniform(1,28),0)</f>
        <v>0</v>
      </c>
      <c r="E19" s="56">
        <f ca="1">IF(OR(B19 = 4, B19 = 6, B19 =9, B19 = 11), _xll.PsiIntUniform(1,30),0)</f>
        <v>0</v>
      </c>
      <c r="F19" s="57" t="str">
        <f t="shared" ref="F19" ca="1" si="16">CONCATENATE(B19,C19,D19,E19)</f>
        <v>73100</v>
      </c>
      <c r="G19" s="58">
        <f ca="1">IFERROR(MATCH(F19,F20:$F$52,0),0)</f>
        <v>0</v>
      </c>
    </row>
    <row r="20" spans="1:7" x14ac:dyDescent="0.2">
      <c r="A20" s="55">
        <v>18</v>
      </c>
      <c r="B20" s="56">
        <f ca="1">_xll.PsiIntUniform(1,12)</f>
        <v>3</v>
      </c>
      <c r="C20" s="56">
        <f ca="1">IF(OR(B20=1, B20 = 3, B20 = 5, B20 = 7, B20 = 8, B20 = 10, B20 = 12),_xll.PsiIntUniform(1,31),0)</f>
        <v>4</v>
      </c>
      <c r="D20" s="56">
        <f ca="1">IF(B20=2, _xll.PsiIntUniform(1,28),0)</f>
        <v>0</v>
      </c>
      <c r="E20" s="56">
        <f ca="1">IF(OR(B20 = 4, B20 = 6, B20 =9, B20 = 11), _xll.PsiIntUniform(1,30),0)</f>
        <v>0</v>
      </c>
      <c r="F20" s="57" t="str">
        <f t="shared" ref="F20" ca="1" si="17">CONCATENATE(B20,C20,D20,E20)</f>
        <v>3400</v>
      </c>
      <c r="G20" s="58">
        <f ca="1">IFERROR(MATCH(F20,F21:$F$52,0),0)</f>
        <v>0</v>
      </c>
    </row>
    <row r="21" spans="1:7" x14ac:dyDescent="0.2">
      <c r="A21" s="55">
        <v>19</v>
      </c>
      <c r="B21" s="56">
        <f ca="1">_xll.PsiIntUniform(1,12)</f>
        <v>2</v>
      </c>
      <c r="C21" s="56">
        <f ca="1">IF(OR(B21=1, B21 = 3, B21 = 5, B21 = 7, B21 = 8, B21 = 10, B21 = 12),_xll.PsiIntUniform(1,31),0)</f>
        <v>0</v>
      </c>
      <c r="D21" s="56">
        <f ca="1">IF(B21=2, _xll.PsiIntUniform(1,28),0)</f>
        <v>4</v>
      </c>
      <c r="E21" s="56">
        <f ca="1">IF(OR(B21 = 4, B21 = 6, B21 =9, B21 = 11), _xll.PsiIntUniform(1,30),0)</f>
        <v>0</v>
      </c>
      <c r="F21" s="57" t="str">
        <f t="shared" ref="F21" ca="1" si="18">CONCATENATE(B21,C21,D21,E21)</f>
        <v>2040</v>
      </c>
      <c r="G21" s="58">
        <f ca="1">IFERROR(MATCH(F21,F22:$F$52,0),0)</f>
        <v>0</v>
      </c>
    </row>
    <row r="22" spans="1:7" x14ac:dyDescent="0.2">
      <c r="A22" s="55">
        <v>20</v>
      </c>
      <c r="B22" s="56">
        <f ca="1">_xll.PsiIntUniform(1,12)</f>
        <v>10</v>
      </c>
      <c r="C22" s="56">
        <f ca="1">IF(OR(B22=1, B22 = 3, B22 = 5, B22 = 7, B22 = 8, B22 = 10, B22 = 12),_xll.PsiIntUniform(1,31),0)</f>
        <v>24</v>
      </c>
      <c r="D22" s="56">
        <f ca="1">IF(B22=2, _xll.PsiIntUniform(1,28),0)</f>
        <v>0</v>
      </c>
      <c r="E22" s="56">
        <f ca="1">IF(OR(B22 = 4, B22 = 6, B22 =9, B22 = 11), _xll.PsiIntUniform(1,30),0)</f>
        <v>0</v>
      </c>
      <c r="F22" s="57" t="str">
        <f t="shared" ref="F22" ca="1" si="19">CONCATENATE(B22,C22,D22,E22)</f>
        <v>102400</v>
      </c>
      <c r="G22" s="58">
        <f ca="1">IFERROR(MATCH(F22,F23:$F$52,0),0)</f>
        <v>0</v>
      </c>
    </row>
    <row r="23" spans="1:7" x14ac:dyDescent="0.2">
      <c r="A23" s="55">
        <v>21</v>
      </c>
      <c r="B23" s="56">
        <f ca="1">_xll.PsiIntUniform(1,12)</f>
        <v>3</v>
      </c>
      <c r="C23" s="56">
        <f ca="1">IF(OR(B23=1, B23 = 3, B23 = 5, B23 = 7, B23 = 8, B23 = 10, B23 = 12),_xll.PsiIntUniform(1,31),0)</f>
        <v>18</v>
      </c>
      <c r="D23" s="56">
        <f ca="1">IF(B23=2, _xll.PsiIntUniform(1,28),0)</f>
        <v>0</v>
      </c>
      <c r="E23" s="56">
        <f ca="1">IF(OR(B23 = 4, B23 = 6, B23 =9, B23 = 11), _xll.PsiIntUniform(1,30),0)</f>
        <v>0</v>
      </c>
      <c r="F23" s="57" t="str">
        <f t="shared" ref="F23" ca="1" si="20">CONCATENATE(B23,C23,D23,E23)</f>
        <v>31800</v>
      </c>
      <c r="G23" s="58">
        <f ca="1">IFERROR(MATCH(F23,F24:$F$52,0),0)</f>
        <v>0</v>
      </c>
    </row>
    <row r="24" spans="1:7" x14ac:dyDescent="0.2">
      <c r="A24" s="55">
        <v>22</v>
      </c>
      <c r="B24" s="56">
        <f ca="1">_xll.PsiIntUniform(1,12)</f>
        <v>2</v>
      </c>
      <c r="C24" s="56">
        <f ca="1">IF(OR(B24=1, B24 = 3, B24 = 5, B24 = 7, B24 = 8, B24 = 10, B24 = 12),_xll.PsiIntUniform(1,31),0)</f>
        <v>0</v>
      </c>
      <c r="D24" s="56">
        <f ca="1">IF(B24=2, _xll.PsiIntUniform(1,28),0)</f>
        <v>19</v>
      </c>
      <c r="E24" s="56">
        <f ca="1">IF(OR(B24 = 4, B24 = 6, B24 =9, B24 = 11), _xll.PsiIntUniform(1,30),0)</f>
        <v>0</v>
      </c>
      <c r="F24" s="57" t="str">
        <f t="shared" ref="F24" ca="1" si="21">CONCATENATE(B24,C24,D24,E24)</f>
        <v>20190</v>
      </c>
      <c r="G24" s="58">
        <f ca="1">IFERROR(MATCH(F24,F25:$F$52,0),0)</f>
        <v>0</v>
      </c>
    </row>
    <row r="25" spans="1:7" x14ac:dyDescent="0.2">
      <c r="A25" s="55">
        <v>23</v>
      </c>
      <c r="B25" s="56">
        <f ca="1">_xll.PsiIntUniform(1,12)</f>
        <v>8</v>
      </c>
      <c r="C25" s="56">
        <f ca="1">IF(OR(B25=1, B25 = 3, B25 = 5, B25 = 7, B25 = 8, B25 = 10, B25 = 12),_xll.PsiIntUniform(1,31),0)</f>
        <v>6</v>
      </c>
      <c r="D25" s="56">
        <f ca="1">IF(B25=2, _xll.PsiIntUniform(1,28),0)</f>
        <v>0</v>
      </c>
      <c r="E25" s="56">
        <f ca="1">IF(OR(B25 = 4, B25 = 6, B25 =9, B25 = 11), _xll.PsiIntUniform(1,30),0)</f>
        <v>0</v>
      </c>
      <c r="F25" s="57" t="str">
        <f t="shared" ref="F25" ca="1" si="22">CONCATENATE(B25,C25,D25,E25)</f>
        <v>8600</v>
      </c>
      <c r="G25" s="58">
        <f ca="1">IFERROR(MATCH(F25,F26:$F$52,0),0)</f>
        <v>0</v>
      </c>
    </row>
    <row r="26" spans="1:7" x14ac:dyDescent="0.2">
      <c r="A26" s="55">
        <v>24</v>
      </c>
      <c r="B26" s="56">
        <f ca="1">_xll.PsiIntUniform(1,12)</f>
        <v>2</v>
      </c>
      <c r="C26" s="56">
        <f ca="1">IF(OR(B26=1, B26 = 3, B26 = 5, B26 = 7, B26 = 8, B26 = 10, B26 = 12),_xll.PsiIntUniform(1,31),0)</f>
        <v>0</v>
      </c>
      <c r="D26" s="56">
        <f ca="1">IF(B26=2, _xll.PsiIntUniform(1,28),0)</f>
        <v>8</v>
      </c>
      <c r="E26" s="56">
        <f ca="1">IF(OR(B26 = 4, B26 = 6, B26 =9, B26 = 11), _xll.PsiIntUniform(1,30),0)</f>
        <v>0</v>
      </c>
      <c r="F26" s="57" t="str">
        <f t="shared" ref="F26" ca="1" si="23">CONCATENATE(B26,C26,D26,E26)</f>
        <v>2080</v>
      </c>
      <c r="G26" s="58">
        <f ca="1">IFERROR(MATCH(F26,F27:$F$52,0),0)</f>
        <v>0</v>
      </c>
    </row>
    <row r="27" spans="1:7" x14ac:dyDescent="0.2">
      <c r="A27" s="55">
        <v>25</v>
      </c>
      <c r="B27" s="56">
        <f ca="1">_xll.PsiIntUniform(1,12)</f>
        <v>9</v>
      </c>
      <c r="C27" s="56">
        <f ca="1">IF(OR(B27=1, B27 = 3, B27 = 5, B27 = 7, B27 = 8, B27 = 10, B27 = 12),_xll.PsiIntUniform(1,31),0)</f>
        <v>0</v>
      </c>
      <c r="D27" s="56">
        <f ca="1">IF(B27=2, _xll.PsiIntUniform(1,28),0)</f>
        <v>0</v>
      </c>
      <c r="E27" s="56">
        <f ca="1">IF(OR(B27 = 4, B27 = 6, B27 =9, B27 = 11), _xll.PsiIntUniform(1,30),0)</f>
        <v>5</v>
      </c>
      <c r="F27" s="57" t="str">
        <f t="shared" ref="F27" ca="1" si="24">CONCATENATE(B27,C27,D27,E27)</f>
        <v>9005</v>
      </c>
      <c r="G27" s="58">
        <f ca="1">IFERROR(MATCH(F27,F28:$F$52,0),0)</f>
        <v>0</v>
      </c>
    </row>
    <row r="28" spans="1:7" x14ac:dyDescent="0.2">
      <c r="A28" s="55">
        <v>26</v>
      </c>
      <c r="B28" s="56">
        <f ca="1">_xll.PsiIntUniform(1,12)</f>
        <v>1</v>
      </c>
      <c r="C28" s="56">
        <f ca="1">IF(OR(B28=1, B28 = 3, B28 = 5, B28 = 7, B28 = 8, B28 = 10, B28 = 12),_xll.PsiIntUniform(1,31),0)</f>
        <v>21</v>
      </c>
      <c r="D28" s="56">
        <f ca="1">IF(B28=2, _xll.PsiIntUniform(1,28),0)</f>
        <v>0</v>
      </c>
      <c r="E28" s="56">
        <f ca="1">IF(OR(B28 = 4, B28 = 6, B28 =9, B28 = 11), _xll.PsiIntUniform(1,30),0)</f>
        <v>0</v>
      </c>
      <c r="F28" s="57" t="str">
        <f t="shared" ref="F28" ca="1" si="25">CONCATENATE(B28,C28,D28,E28)</f>
        <v>12100</v>
      </c>
      <c r="G28" s="58">
        <f ca="1">IFERROR(MATCH(F28,F29:$F$52,0),0)</f>
        <v>0</v>
      </c>
    </row>
    <row r="29" spans="1:7" x14ac:dyDescent="0.2">
      <c r="A29" s="55">
        <v>27</v>
      </c>
      <c r="B29" s="56">
        <f ca="1">_xll.PsiIntUniform(1,12)</f>
        <v>2</v>
      </c>
      <c r="C29" s="56">
        <f ca="1">IF(OR(B29=1, B29 = 3, B29 = 5, B29 = 7, B29 = 8, B29 = 10, B29 = 12),_xll.PsiIntUniform(1,31),0)</f>
        <v>0</v>
      </c>
      <c r="D29" s="56">
        <f ca="1">IF(B29=2, _xll.PsiIntUniform(1,28),0)</f>
        <v>9</v>
      </c>
      <c r="E29" s="56">
        <f ca="1">IF(OR(B29 = 4, B29 = 6, B29 =9, B29 = 11), _xll.PsiIntUniform(1,30),0)</f>
        <v>0</v>
      </c>
      <c r="F29" s="57" t="str">
        <f t="shared" ref="F29" ca="1" si="26">CONCATENATE(B29,C29,D29,E29)</f>
        <v>2090</v>
      </c>
      <c r="G29" s="58">
        <f ca="1">IFERROR(MATCH(F29,F30:$F$52,0),0)</f>
        <v>0</v>
      </c>
    </row>
    <row r="30" spans="1:7" x14ac:dyDescent="0.2">
      <c r="A30" s="55">
        <v>28</v>
      </c>
      <c r="B30" s="56">
        <f ca="1">_xll.PsiIntUniform(1,12)</f>
        <v>2</v>
      </c>
      <c r="C30" s="56">
        <f ca="1">IF(OR(B30=1, B30 = 3, B30 = 5, B30 = 7, B30 = 8, B30 = 10, B30 = 12),_xll.PsiIntUniform(1,31),0)</f>
        <v>0</v>
      </c>
      <c r="D30" s="56">
        <f ca="1">IF(B30=2, _xll.PsiIntUniform(1,28),0)</f>
        <v>10</v>
      </c>
      <c r="E30" s="56">
        <f ca="1">IF(OR(B30 = 4, B30 = 6, B30 =9, B30 = 11), _xll.PsiIntUniform(1,30),0)</f>
        <v>0</v>
      </c>
      <c r="F30" s="57" t="str">
        <f t="shared" ref="F30" ca="1" si="27">CONCATENATE(B30,C30,D30,E30)</f>
        <v>20100</v>
      </c>
      <c r="G30" s="58">
        <f ca="1">IFERROR(MATCH(F30,F31:$F$52,0),0)</f>
        <v>19</v>
      </c>
    </row>
    <row r="31" spans="1:7" x14ac:dyDescent="0.2">
      <c r="A31" s="55">
        <v>29</v>
      </c>
      <c r="B31" s="56">
        <f ca="1">_xll.PsiIntUniform(1,12)</f>
        <v>12</v>
      </c>
      <c r="C31" s="56">
        <f ca="1">IF(OR(B31=1, B31 = 3, B31 = 5, B31 = 7, B31 = 8, B31 = 10, B31 = 12),_xll.PsiIntUniform(1,31),0)</f>
        <v>25</v>
      </c>
      <c r="D31" s="56">
        <f ca="1">IF(B31=2, _xll.PsiIntUniform(1,28),0)</f>
        <v>0</v>
      </c>
      <c r="E31" s="56">
        <f ca="1">IF(OR(B31 = 4, B31 = 6, B31 =9, B31 = 11), _xll.PsiIntUniform(1,30),0)</f>
        <v>0</v>
      </c>
      <c r="F31" s="57" t="str">
        <f t="shared" ref="F31" ca="1" si="28">CONCATENATE(B31,C31,D31,E31)</f>
        <v>122500</v>
      </c>
      <c r="G31" s="58">
        <f ca="1">IFERROR(MATCH(F31,F32:$F$52,0),0)</f>
        <v>0</v>
      </c>
    </row>
    <row r="32" spans="1:7" x14ac:dyDescent="0.2">
      <c r="A32" s="55">
        <v>30</v>
      </c>
      <c r="B32" s="56">
        <f ca="1">_xll.PsiIntUniform(1,12)</f>
        <v>5</v>
      </c>
      <c r="C32" s="56">
        <f ca="1">IF(OR(B32=1, B32 = 3, B32 = 5, B32 = 7, B32 = 8, B32 = 10, B32 = 12),_xll.PsiIntUniform(1,31),0)</f>
        <v>6</v>
      </c>
      <c r="D32" s="56">
        <f ca="1">IF(B32=2, _xll.PsiIntUniform(1,28),0)</f>
        <v>0</v>
      </c>
      <c r="E32" s="56">
        <f ca="1">IF(OR(B32 = 4, B32 = 6, B32 =9, B32 = 11), _xll.PsiIntUniform(1,30),0)</f>
        <v>0</v>
      </c>
      <c r="F32" s="57" t="str">
        <f t="shared" ref="F32" ca="1" si="29">CONCATENATE(B32,C32,D32,E32)</f>
        <v>5600</v>
      </c>
      <c r="G32" s="58">
        <f ca="1">IFERROR(MATCH(F32,F33:$F$52,0),0)</f>
        <v>0</v>
      </c>
    </row>
    <row r="33" spans="1:7" x14ac:dyDescent="0.2">
      <c r="A33" s="55">
        <v>31</v>
      </c>
      <c r="B33" s="56">
        <f ca="1">_xll.PsiIntUniform(1,12)</f>
        <v>12</v>
      </c>
      <c r="C33" s="56">
        <f ca="1">IF(OR(B33=1, B33 = 3, B33 = 5, B33 = 7, B33 = 8, B33 = 10, B33 = 12),_xll.PsiIntUniform(1,31),0)</f>
        <v>2</v>
      </c>
      <c r="D33" s="56">
        <f ca="1">IF(B33=2, _xll.PsiIntUniform(1,28),0)</f>
        <v>0</v>
      </c>
      <c r="E33" s="56">
        <f ca="1">IF(OR(B33 = 4, B33 = 6, B33 =9, B33 = 11), _xll.PsiIntUniform(1,30),0)</f>
        <v>0</v>
      </c>
      <c r="F33" s="57" t="str">
        <f t="shared" ref="F33" ca="1" si="30">CONCATENATE(B33,C33,D33,E33)</f>
        <v>12200</v>
      </c>
      <c r="G33" s="58">
        <f ca="1">IFERROR(MATCH(F33,F34:$F$52,0),0)</f>
        <v>0</v>
      </c>
    </row>
    <row r="34" spans="1:7" x14ac:dyDescent="0.2">
      <c r="A34" s="55">
        <v>32</v>
      </c>
      <c r="B34" s="56">
        <f ca="1">_xll.PsiIntUniform(1,12)</f>
        <v>10</v>
      </c>
      <c r="C34" s="56">
        <f ca="1">IF(OR(B34=1, B34 = 3, B34 = 5, B34 = 7, B34 = 8, B34 = 10, B34 = 12),_xll.PsiIntUniform(1,31),0)</f>
        <v>6</v>
      </c>
      <c r="D34" s="56">
        <f ca="1">IF(B34=2, _xll.PsiIntUniform(1,28),0)</f>
        <v>0</v>
      </c>
      <c r="E34" s="56">
        <f ca="1">IF(OR(B34 = 4, B34 = 6, B34 =9, B34 = 11), _xll.PsiIntUniform(1,30),0)</f>
        <v>0</v>
      </c>
      <c r="F34" s="57" t="str">
        <f t="shared" ref="F34" ca="1" si="31">CONCATENATE(B34,C34,D34,E34)</f>
        <v>10600</v>
      </c>
      <c r="G34" s="58">
        <f ca="1">IFERROR(MATCH(F34,F35:$F$52,0),0)</f>
        <v>0</v>
      </c>
    </row>
    <row r="35" spans="1:7" x14ac:dyDescent="0.2">
      <c r="A35" s="55">
        <v>33</v>
      </c>
      <c r="B35" s="56">
        <f ca="1">_xll.PsiIntUniform(1,12)</f>
        <v>4</v>
      </c>
      <c r="C35" s="56">
        <f ca="1">IF(OR(B35=1, B35 = 3, B35 = 5, B35 = 7, B35 = 8, B35 = 10, B35 = 12),_xll.PsiIntUniform(1,31),0)</f>
        <v>0</v>
      </c>
      <c r="D35" s="56">
        <f ca="1">IF(B35=2, _xll.PsiIntUniform(1,28),0)</f>
        <v>0</v>
      </c>
      <c r="E35" s="56">
        <f ca="1">IF(OR(B35 = 4, B35 = 6, B35 =9, B35 = 11), _xll.PsiIntUniform(1,30),0)</f>
        <v>24</v>
      </c>
      <c r="F35" s="57" t="str">
        <f t="shared" ref="F35" ca="1" si="32">CONCATENATE(B35,C35,D35,E35)</f>
        <v>40024</v>
      </c>
      <c r="G35" s="58">
        <f ca="1">IFERROR(MATCH(F35,F36:$F$52,0),0)</f>
        <v>0</v>
      </c>
    </row>
    <row r="36" spans="1:7" x14ac:dyDescent="0.2">
      <c r="A36" s="55">
        <v>34</v>
      </c>
      <c r="B36" s="56">
        <f ca="1">_xll.PsiIntUniform(1,12)</f>
        <v>7</v>
      </c>
      <c r="C36" s="56">
        <f ca="1">IF(OR(B36=1, B36 = 3, B36 = 5, B36 = 7, B36 = 8, B36 = 10, B36 = 12),_xll.PsiIntUniform(1,31),0)</f>
        <v>13</v>
      </c>
      <c r="D36" s="56">
        <f ca="1">IF(B36=2, _xll.PsiIntUniform(1,28),0)</f>
        <v>0</v>
      </c>
      <c r="E36" s="56">
        <f ca="1">IF(OR(B36 = 4, B36 = 6, B36 =9, B36 = 11), _xll.PsiIntUniform(1,30),0)</f>
        <v>0</v>
      </c>
      <c r="F36" s="57" t="str">
        <f t="shared" ref="F36" ca="1" si="33">CONCATENATE(B36,C36,D36,E36)</f>
        <v>71300</v>
      </c>
      <c r="G36" s="58">
        <f ca="1">IFERROR(MATCH(F36,F37:$F$52,0),0)</f>
        <v>0</v>
      </c>
    </row>
    <row r="37" spans="1:7" x14ac:dyDescent="0.2">
      <c r="A37" s="55">
        <v>35</v>
      </c>
      <c r="B37" s="56">
        <f ca="1">_xll.PsiIntUniform(1,12)</f>
        <v>4</v>
      </c>
      <c r="C37" s="56">
        <f ca="1">IF(OR(B37=1, B37 = 3, B37 = 5, B37 = 7, B37 = 8, B37 = 10, B37 = 12),_xll.PsiIntUniform(1,31),0)</f>
        <v>0</v>
      </c>
      <c r="D37" s="56">
        <f ca="1">IF(B37=2, _xll.PsiIntUniform(1,28),0)</f>
        <v>0</v>
      </c>
      <c r="E37" s="56">
        <f ca="1">IF(OR(B37 = 4, B37 = 6, B37 =9, B37 = 11), _xll.PsiIntUniform(1,30),0)</f>
        <v>5</v>
      </c>
      <c r="F37" s="57" t="str">
        <f t="shared" ref="F37" ca="1" si="34">CONCATENATE(B37,C37,D37,E37)</f>
        <v>4005</v>
      </c>
      <c r="G37" s="58">
        <f ca="1">IFERROR(MATCH(F37,F38:$F$52,0),0)</f>
        <v>0</v>
      </c>
    </row>
    <row r="38" spans="1:7" x14ac:dyDescent="0.2">
      <c r="A38" s="55">
        <v>36</v>
      </c>
      <c r="B38" s="56">
        <f ca="1">_xll.PsiIntUniform(1,12)</f>
        <v>5</v>
      </c>
      <c r="C38" s="56">
        <f ca="1">IF(OR(B38=1, B38 = 3, B38 = 5, B38 = 7, B38 = 8, B38 = 10, B38 = 12),_xll.PsiIntUniform(1,31),0)</f>
        <v>19</v>
      </c>
      <c r="D38" s="56">
        <f ca="1">IF(B38=2, _xll.PsiIntUniform(1,28),0)</f>
        <v>0</v>
      </c>
      <c r="E38" s="56">
        <f ca="1">IF(OR(B38 = 4, B38 = 6, B38 =9, B38 = 11), _xll.PsiIntUniform(1,30),0)</f>
        <v>0</v>
      </c>
      <c r="F38" s="57" t="str">
        <f t="shared" ref="F38" ca="1" si="35">CONCATENATE(B38,C38,D38,E38)</f>
        <v>51900</v>
      </c>
      <c r="G38" s="58">
        <f ca="1">IFERROR(MATCH(F38,F39:$F$52,0),0)</f>
        <v>0</v>
      </c>
    </row>
    <row r="39" spans="1:7" x14ac:dyDescent="0.2">
      <c r="A39" s="55">
        <v>37</v>
      </c>
      <c r="B39" s="56">
        <f ca="1">_xll.PsiIntUniform(1,12)</f>
        <v>11</v>
      </c>
      <c r="C39" s="56">
        <f ca="1">IF(OR(B39=1, B39 = 3, B39 = 5, B39 = 7, B39 = 8, B39 = 10, B39 = 12),_xll.PsiIntUniform(1,31),0)</f>
        <v>0</v>
      </c>
      <c r="D39" s="56">
        <f ca="1">IF(B39=2, _xll.PsiIntUniform(1,28),0)</f>
        <v>0</v>
      </c>
      <c r="E39" s="56">
        <f ca="1">IF(OR(B39 = 4, B39 = 6, B39 =9, B39 = 11), _xll.PsiIntUniform(1,30),0)</f>
        <v>9</v>
      </c>
      <c r="F39" s="57" t="str">
        <f t="shared" ref="F39" ca="1" si="36">CONCATENATE(B39,C39,D39,E39)</f>
        <v>11009</v>
      </c>
      <c r="G39" s="58">
        <f ca="1">IFERROR(MATCH(F39,F40:$F$52,0),0)</f>
        <v>0</v>
      </c>
    </row>
    <row r="40" spans="1:7" x14ac:dyDescent="0.2">
      <c r="A40" s="55">
        <v>38</v>
      </c>
      <c r="B40" s="56">
        <f ca="1">_xll.PsiIntUniform(1,12)</f>
        <v>12</v>
      </c>
      <c r="C40" s="56">
        <f ca="1">IF(OR(B40=1, B40 = 3, B40 = 5, B40 = 7, B40 = 8, B40 = 10, B40 = 12),_xll.PsiIntUniform(1,31),0)</f>
        <v>19</v>
      </c>
      <c r="D40" s="56">
        <f ca="1">IF(B40=2, _xll.PsiIntUniform(1,28),0)</f>
        <v>0</v>
      </c>
      <c r="E40" s="56">
        <f ca="1">IF(OR(B40 = 4, B40 = 6, B40 =9, B40 = 11), _xll.PsiIntUniform(1,30),0)</f>
        <v>0</v>
      </c>
      <c r="F40" s="57" t="str">
        <f t="shared" ref="F40" ca="1" si="37">CONCATENATE(B40,C40,D40,E40)</f>
        <v>121900</v>
      </c>
      <c r="G40" s="58">
        <f ca="1">IFERROR(MATCH(F40,F41:$F$52,0),0)</f>
        <v>0</v>
      </c>
    </row>
    <row r="41" spans="1:7" x14ac:dyDescent="0.2">
      <c r="A41" s="55">
        <v>39</v>
      </c>
      <c r="B41" s="56">
        <f ca="1">_xll.PsiIntUniform(1,12)</f>
        <v>7</v>
      </c>
      <c r="C41" s="56">
        <f ca="1">IF(OR(B41=1, B41 = 3, B41 = 5, B41 = 7, B41 = 8, B41 = 10, B41 = 12),_xll.PsiIntUniform(1,31),0)</f>
        <v>3</v>
      </c>
      <c r="D41" s="56">
        <f ca="1">IF(B41=2, _xll.PsiIntUniform(1,28),0)</f>
        <v>0</v>
      </c>
      <c r="E41" s="56">
        <f ca="1">IF(OR(B41 = 4, B41 = 6, B41 =9, B41 = 11), _xll.PsiIntUniform(1,30),0)</f>
        <v>0</v>
      </c>
      <c r="F41" s="57" t="str">
        <f t="shared" ref="F41" ca="1" si="38">CONCATENATE(B41,C41,D41,E41)</f>
        <v>7300</v>
      </c>
      <c r="G41" s="58">
        <f ca="1">IFERROR(MATCH(F41,F42:$F$52,0),0)</f>
        <v>0</v>
      </c>
    </row>
    <row r="42" spans="1:7" x14ac:dyDescent="0.2">
      <c r="A42" s="55">
        <v>40</v>
      </c>
      <c r="B42" s="56">
        <f ca="1">_xll.PsiIntUniform(1,12)</f>
        <v>3</v>
      </c>
      <c r="C42" s="56">
        <f ca="1">IF(OR(B42=1, B42 = 3, B42 = 5, B42 = 7, B42 = 8, B42 = 10, B42 = 12),_xll.PsiIntUniform(1,31),0)</f>
        <v>16</v>
      </c>
      <c r="D42" s="56">
        <f ca="1">IF(B42=2, _xll.PsiIntUniform(1,28),0)</f>
        <v>0</v>
      </c>
      <c r="E42" s="56">
        <f ca="1">IF(OR(B42 = 4, B42 = 6, B42 =9, B42 = 11), _xll.PsiIntUniform(1,30),0)</f>
        <v>0</v>
      </c>
      <c r="F42" s="57" t="str">
        <f t="shared" ref="F42" ca="1" si="39">CONCATENATE(B42,C42,D42,E42)</f>
        <v>31600</v>
      </c>
      <c r="G42" s="58">
        <f ca="1">IFERROR(MATCH(F42,F43:$F$52,0),0)</f>
        <v>0</v>
      </c>
    </row>
    <row r="43" spans="1:7" x14ac:dyDescent="0.2">
      <c r="A43" s="55">
        <v>41</v>
      </c>
      <c r="B43" s="56">
        <f ca="1">_xll.PsiIntUniform(1,12)</f>
        <v>3</v>
      </c>
      <c r="C43" s="56">
        <f ca="1">IF(OR(B43=1, B43 = 3, B43 = 5, B43 = 7, B43 = 8, B43 = 10, B43 = 12),_xll.PsiIntUniform(1,31),0)</f>
        <v>13</v>
      </c>
      <c r="D43" s="56">
        <f ca="1">IF(B43=2, _xll.PsiIntUniform(1,28),0)</f>
        <v>0</v>
      </c>
      <c r="E43" s="56">
        <f ca="1">IF(OR(B43 = 4, B43 = 6, B43 =9, B43 = 11), _xll.PsiIntUniform(1,30),0)</f>
        <v>0</v>
      </c>
      <c r="F43" s="57" t="str">
        <f t="shared" ref="F43" ca="1" si="40">CONCATENATE(B43,C43,D43,E43)</f>
        <v>31300</v>
      </c>
      <c r="G43" s="58">
        <f ca="1">IFERROR(MATCH(F43,F44:$F$52,0),0)</f>
        <v>0</v>
      </c>
    </row>
    <row r="44" spans="1:7" x14ac:dyDescent="0.2">
      <c r="A44" s="55">
        <v>42</v>
      </c>
      <c r="B44" s="56">
        <f ca="1">_xll.PsiIntUniform(1,12)</f>
        <v>3</v>
      </c>
      <c r="C44" s="56">
        <f ca="1">IF(OR(B44=1, B44 = 3, B44 = 5, B44 = 7, B44 = 8, B44 = 10, B44 = 12),_xll.PsiIntUniform(1,31),0)</f>
        <v>10</v>
      </c>
      <c r="D44" s="56">
        <f ca="1">IF(B44=2, _xll.PsiIntUniform(1,28),0)</f>
        <v>0</v>
      </c>
      <c r="E44" s="56">
        <f ca="1">IF(OR(B44 = 4, B44 = 6, B44 =9, B44 = 11), _xll.PsiIntUniform(1,30),0)</f>
        <v>0</v>
      </c>
      <c r="F44" s="57" t="str">
        <f t="shared" ref="F44" ca="1" si="41">CONCATENATE(B44,C44,D44,E44)</f>
        <v>31000</v>
      </c>
      <c r="G44" s="58">
        <f ca="1">IFERROR(MATCH(F44,F45:$F$52,0),0)</f>
        <v>0</v>
      </c>
    </row>
    <row r="45" spans="1:7" x14ac:dyDescent="0.2">
      <c r="A45" s="55">
        <v>43</v>
      </c>
      <c r="B45" s="56">
        <f ca="1">_xll.PsiIntUniform(1,12)</f>
        <v>7</v>
      </c>
      <c r="C45" s="56">
        <f ca="1">IF(OR(B45=1, B45 = 3, B45 = 5, B45 = 7, B45 = 8, B45 = 10, B45 = 12),_xll.PsiIntUniform(1,31),0)</f>
        <v>2</v>
      </c>
      <c r="D45" s="56">
        <f ca="1">IF(B45=2, _xll.PsiIntUniform(1,28),0)</f>
        <v>0</v>
      </c>
      <c r="E45" s="56">
        <f ca="1">IF(OR(B45 = 4, B45 = 6, B45 =9, B45 = 11), _xll.PsiIntUniform(1,30),0)</f>
        <v>0</v>
      </c>
      <c r="F45" s="57" t="str">
        <f t="shared" ref="F45" ca="1" si="42">CONCATENATE(B45,C45,D45,E45)</f>
        <v>7200</v>
      </c>
      <c r="G45" s="58">
        <f ca="1">IFERROR(MATCH(F45,F46:$F$52,0),0)</f>
        <v>0</v>
      </c>
    </row>
    <row r="46" spans="1:7" x14ac:dyDescent="0.2">
      <c r="A46" s="55">
        <v>44</v>
      </c>
      <c r="B46" s="56">
        <f ca="1">_xll.PsiIntUniform(1,12)</f>
        <v>2</v>
      </c>
      <c r="C46" s="56">
        <f ca="1">IF(OR(B46=1, B46 = 3, B46 = 5, B46 = 7, B46 = 8, B46 = 10, B46 = 12),_xll.PsiIntUniform(1,31),0)</f>
        <v>0</v>
      </c>
      <c r="D46" s="56">
        <f ca="1">IF(B46=2, _xll.PsiIntUniform(1,28),0)</f>
        <v>1</v>
      </c>
      <c r="E46" s="56">
        <f ca="1">IF(OR(B46 = 4, B46 = 6, B46 =9, B46 = 11), _xll.PsiIntUniform(1,30),0)</f>
        <v>0</v>
      </c>
      <c r="F46" s="57" t="str">
        <f t="shared" ref="F46" ca="1" si="43">CONCATENATE(B46,C46,D46,E46)</f>
        <v>2010</v>
      </c>
      <c r="G46" s="58">
        <f ca="1">IFERROR(MATCH(F46,F47:$F$52,0),0)</f>
        <v>0</v>
      </c>
    </row>
    <row r="47" spans="1:7" x14ac:dyDescent="0.2">
      <c r="A47" s="55">
        <v>45</v>
      </c>
      <c r="B47" s="56">
        <f ca="1">_xll.PsiIntUniform(1,12)</f>
        <v>11</v>
      </c>
      <c r="C47" s="56">
        <f ca="1">IF(OR(B47=1, B47 = 3, B47 = 5, B47 = 7, B47 = 8, B47 = 10, B47 = 12),_xll.PsiIntUniform(1,31),0)</f>
        <v>0</v>
      </c>
      <c r="D47" s="56">
        <f ca="1">IF(B47=2, _xll.PsiIntUniform(1,28),0)</f>
        <v>0</v>
      </c>
      <c r="E47" s="56">
        <f ca="1">IF(OR(B47 = 4, B47 = 6, B47 =9, B47 = 11), _xll.PsiIntUniform(1,30),0)</f>
        <v>10</v>
      </c>
      <c r="F47" s="57" t="str">
        <f t="shared" ref="F47" ca="1" si="44">CONCATENATE(B47,C47,D47,E47)</f>
        <v>110010</v>
      </c>
      <c r="G47" s="58">
        <f ca="1">IFERROR(MATCH(F47,F48:$F$52,0),0)</f>
        <v>0</v>
      </c>
    </row>
    <row r="48" spans="1:7" x14ac:dyDescent="0.2">
      <c r="A48" s="55">
        <v>46</v>
      </c>
      <c r="B48" s="56">
        <f ca="1">_xll.PsiIntUniform(1,12)</f>
        <v>4</v>
      </c>
      <c r="C48" s="56">
        <f ca="1">IF(OR(B48=1, B48 = 3, B48 = 5, B48 = 7, B48 = 8, B48 = 10, B48 = 12),_xll.PsiIntUniform(1,31),0)</f>
        <v>0</v>
      </c>
      <c r="D48" s="56">
        <f ca="1">IF(B48=2, _xll.PsiIntUniform(1,28),0)</f>
        <v>0</v>
      </c>
      <c r="E48" s="56">
        <f ca="1">IF(OR(B48 = 4, B48 = 6, B48 =9, B48 = 11), _xll.PsiIntUniform(1,30),0)</f>
        <v>3</v>
      </c>
      <c r="F48" s="57" t="str">
        <f t="shared" ref="F48" ca="1" si="45">CONCATENATE(B48,C48,D48,E48)</f>
        <v>4003</v>
      </c>
      <c r="G48" s="58">
        <f ca="1">IFERROR(MATCH(F48,F49:$F$52,0),0)</f>
        <v>0</v>
      </c>
    </row>
    <row r="49" spans="1:7" x14ac:dyDescent="0.2">
      <c r="A49" s="55">
        <v>47</v>
      </c>
      <c r="B49" s="56">
        <f ca="1">_xll.PsiIntUniform(1,12)</f>
        <v>2</v>
      </c>
      <c r="C49" s="56">
        <f ca="1">IF(OR(B49=1, B49 = 3, B49 = 5, B49 = 7, B49 = 8, B49 = 10, B49 = 12),_xll.PsiIntUniform(1,31),0)</f>
        <v>0</v>
      </c>
      <c r="D49" s="56">
        <f ca="1">IF(B49=2, _xll.PsiIntUniform(1,28),0)</f>
        <v>10</v>
      </c>
      <c r="E49" s="56">
        <f ca="1">IF(OR(B49 = 4, B49 = 6, B49 =9, B49 = 11), _xll.PsiIntUniform(1,30),0)</f>
        <v>0</v>
      </c>
      <c r="F49" s="57" t="str">
        <f t="shared" ref="F49" ca="1" si="46">CONCATENATE(B49,C49,D49,E49)</f>
        <v>20100</v>
      </c>
      <c r="G49" s="58">
        <f ca="1">IFERROR(MATCH(F49,F50:$F$52,0),0)</f>
        <v>0</v>
      </c>
    </row>
    <row r="50" spans="1:7" x14ac:dyDescent="0.2">
      <c r="A50" s="55">
        <v>48</v>
      </c>
      <c r="B50" s="56">
        <f ca="1">_xll.PsiIntUniform(1,12)</f>
        <v>2</v>
      </c>
      <c r="C50" s="56">
        <f ca="1">IF(OR(B50=1, B50 = 3, B50 = 5, B50 = 7, B50 = 8, B50 = 10, B50 = 12),_xll.PsiIntUniform(1,31),0)</f>
        <v>0</v>
      </c>
      <c r="D50" s="56">
        <f ca="1">IF(B50=2, _xll.PsiIntUniform(1,28),0)</f>
        <v>28</v>
      </c>
      <c r="E50" s="56">
        <f ca="1">IF(OR(B50 = 4, B50 = 6, B50 =9, B50 = 11), _xll.PsiIntUniform(1,30),0)</f>
        <v>0</v>
      </c>
      <c r="F50" s="57" t="str">
        <f t="shared" ref="F50" ca="1" si="47">CONCATENATE(B50,C50,D50,E50)</f>
        <v>20280</v>
      </c>
      <c r="G50" s="58">
        <f ca="1">IFERROR(MATCH(F50,F51:$F$52,0),0)</f>
        <v>0</v>
      </c>
    </row>
    <row r="51" spans="1:7" x14ac:dyDescent="0.2">
      <c r="A51" s="55">
        <v>49</v>
      </c>
      <c r="B51" s="56">
        <f ca="1">_xll.PsiIntUniform(1,12)</f>
        <v>2</v>
      </c>
      <c r="C51" s="56">
        <f ca="1">IF(OR(B51=1, B51 = 3, B51 = 5, B51 = 7, B51 = 8, B51 = 10, B51 = 12),_xll.PsiIntUniform(1,31),0)</f>
        <v>0</v>
      </c>
      <c r="D51" s="56">
        <f ca="1">IF(B51=2, _xll.PsiIntUniform(1,28),0)</f>
        <v>5</v>
      </c>
      <c r="E51" s="56">
        <f ca="1">IF(OR(B51 = 4, B51 = 6, B51 =9, B51 = 11), _xll.PsiIntUniform(1,30),0)</f>
        <v>0</v>
      </c>
      <c r="F51" s="57" t="str">
        <f t="shared" ref="F51" ca="1" si="48">CONCATENATE(B51,C51,D51,E51)</f>
        <v>2050</v>
      </c>
      <c r="G51" s="58">
        <f ca="1">IFERROR(MATCH(F51,F52:$F$52,0),0)</f>
        <v>0</v>
      </c>
    </row>
    <row r="52" spans="1:7" ht="13.5" thickBot="1" x14ac:dyDescent="0.25">
      <c r="A52" s="60">
        <v>50</v>
      </c>
      <c r="B52" s="56">
        <f ca="1">_xll.PsiIntUniform(1,12)</f>
        <v>4</v>
      </c>
      <c r="C52" s="56">
        <f ca="1">IF(OR(B52=1, B52 = 3, B52 = 5, B52 = 7, B52 = 8, B52 = 10, B52 = 12),_xll.PsiIntUniform(1,31),0)</f>
        <v>0</v>
      </c>
      <c r="D52" s="56">
        <f ca="1">IF(B52=2, _xll.PsiIntUniform(1,28),0)</f>
        <v>0</v>
      </c>
      <c r="E52" s="56">
        <f ca="1">IF(OR(B52 = 4, B52 = 6, B52 =9, B52 = 11), _xll.PsiIntUniform(1,30),0)</f>
        <v>17</v>
      </c>
      <c r="F52" s="57" t="str">
        <f t="shared" ref="F52" ca="1" si="49">CONCATENATE(B52,C52,D52,E52)</f>
        <v>40017</v>
      </c>
      <c r="G52" s="58">
        <f ca="1">IFERROR(MATCH(F52,F$52:$F53,0),0)</f>
        <v>1</v>
      </c>
    </row>
    <row r="53" spans="1:7" x14ac:dyDescent="0.2">
      <c r="B53" s="52"/>
      <c r="C53" s="62"/>
      <c r="D53" s="62"/>
      <c r="E53" s="62"/>
      <c r="F53" s="63"/>
      <c r="G53" s="62"/>
    </row>
    <row r="54" spans="1:7" x14ac:dyDescent="0.2">
      <c r="A54" s="64"/>
    </row>
    <row r="55" spans="1:7" x14ac:dyDescent="0.2">
      <c r="A55" s="64"/>
    </row>
    <row r="56" spans="1:7" x14ac:dyDescent="0.2">
      <c r="A56" s="64"/>
    </row>
    <row r="57" spans="1:7" x14ac:dyDescent="0.2">
      <c r="A57" s="64"/>
    </row>
    <row r="58" spans="1:7" x14ac:dyDescent="0.2">
      <c r="A58" s="64"/>
    </row>
    <row r="59" spans="1:7" x14ac:dyDescent="0.2">
      <c r="A59" s="64"/>
    </row>
    <row r="60" spans="1:7" x14ac:dyDescent="0.2">
      <c r="A60" s="64"/>
    </row>
    <row r="61" spans="1:7" x14ac:dyDescent="0.2">
      <c r="A61" s="64"/>
    </row>
    <row r="62" spans="1:7" x14ac:dyDescent="0.2">
      <c r="A62" s="64"/>
    </row>
    <row r="63" spans="1:7" x14ac:dyDescent="0.2">
      <c r="A63" s="64"/>
    </row>
    <row r="64" spans="1:7" x14ac:dyDescent="0.2">
      <c r="A64" s="64"/>
    </row>
    <row r="65" spans="1:1" x14ac:dyDescent="0.2">
      <c r="A65" s="64"/>
    </row>
    <row r="66" spans="1:1" x14ac:dyDescent="0.2">
      <c r="A66" s="64"/>
    </row>
    <row r="67" spans="1:1" x14ac:dyDescent="0.2">
      <c r="A67" s="64"/>
    </row>
    <row r="68" spans="1:1" x14ac:dyDescent="0.2">
      <c r="A68" s="64"/>
    </row>
    <row r="69" spans="1:1" x14ac:dyDescent="0.2">
      <c r="A69" s="64"/>
    </row>
    <row r="70" spans="1:1" x14ac:dyDescent="0.2">
      <c r="A70" s="64"/>
    </row>
    <row r="71" spans="1:1" x14ac:dyDescent="0.2">
      <c r="A71" s="64"/>
    </row>
    <row r="72" spans="1:1" x14ac:dyDescent="0.2">
      <c r="A72" s="64"/>
    </row>
    <row r="73" spans="1:1" x14ac:dyDescent="0.2">
      <c r="A73" s="64"/>
    </row>
    <row r="74" spans="1:1" x14ac:dyDescent="0.2">
      <c r="A74" s="64"/>
    </row>
    <row r="75" spans="1:1" x14ac:dyDescent="0.2">
      <c r="A75" s="64"/>
    </row>
    <row r="76" spans="1:1" x14ac:dyDescent="0.2">
      <c r="A76" s="64"/>
    </row>
    <row r="77" spans="1:1" x14ac:dyDescent="0.2">
      <c r="A77" s="64"/>
    </row>
    <row r="78" spans="1:1" x14ac:dyDescent="0.2">
      <c r="A78" s="64"/>
    </row>
    <row r="79" spans="1:1" x14ac:dyDescent="0.2">
      <c r="A79" s="64"/>
    </row>
    <row r="80" spans="1:1" x14ac:dyDescent="0.2">
      <c r="A80" s="64"/>
    </row>
    <row r="81" spans="1:1" x14ac:dyDescent="0.2">
      <c r="A81" s="64"/>
    </row>
    <row r="82" spans="1:1" x14ac:dyDescent="0.2">
      <c r="A82" s="64"/>
    </row>
    <row r="83" spans="1:1" x14ac:dyDescent="0.2">
      <c r="A83" s="64"/>
    </row>
    <row r="84" spans="1:1" x14ac:dyDescent="0.2">
      <c r="A84" s="64"/>
    </row>
    <row r="85" spans="1:1" x14ac:dyDescent="0.2">
      <c r="A85" s="64"/>
    </row>
    <row r="86" spans="1:1" x14ac:dyDescent="0.2">
      <c r="A86" s="64"/>
    </row>
    <row r="87" spans="1:1" x14ac:dyDescent="0.2">
      <c r="A87" s="64"/>
    </row>
    <row r="88" spans="1:1" x14ac:dyDescent="0.2">
      <c r="A88" s="64"/>
    </row>
    <row r="89" spans="1:1" x14ac:dyDescent="0.2">
      <c r="A89" s="64"/>
    </row>
    <row r="90" spans="1:1" x14ac:dyDescent="0.2">
      <c r="A90" s="64"/>
    </row>
    <row r="91" spans="1:1" x14ac:dyDescent="0.2">
      <c r="A91" s="64"/>
    </row>
    <row r="92" spans="1:1" x14ac:dyDescent="0.2">
      <c r="A92" s="64"/>
    </row>
    <row r="93" spans="1:1" x14ac:dyDescent="0.2">
      <c r="A93" s="64"/>
    </row>
    <row r="94" spans="1:1" x14ac:dyDescent="0.2">
      <c r="A94" s="64"/>
    </row>
    <row r="95" spans="1:1" x14ac:dyDescent="0.2">
      <c r="A95" s="64"/>
    </row>
    <row r="96" spans="1:1" x14ac:dyDescent="0.2">
      <c r="A96" s="64"/>
    </row>
    <row r="97" spans="1:1" x14ac:dyDescent="0.2">
      <c r="A97" s="64"/>
    </row>
    <row r="98" spans="1:1" x14ac:dyDescent="0.2">
      <c r="A98" s="64"/>
    </row>
    <row r="99" spans="1:1" x14ac:dyDescent="0.2">
      <c r="A99" s="64"/>
    </row>
    <row r="100" spans="1:1" x14ac:dyDescent="0.2">
      <c r="A100" s="64"/>
    </row>
    <row r="101" spans="1:1" x14ac:dyDescent="0.2">
      <c r="A101" s="64"/>
    </row>
    <row r="102" spans="1:1" x14ac:dyDescent="0.2">
      <c r="A102" s="64"/>
    </row>
    <row r="103" spans="1:1" x14ac:dyDescent="0.2">
      <c r="A103" s="64"/>
    </row>
    <row r="104" spans="1:1" x14ac:dyDescent="0.2">
      <c r="A104" s="64"/>
    </row>
    <row r="105" spans="1:1" x14ac:dyDescent="0.2">
      <c r="A105" s="64"/>
    </row>
    <row r="106" spans="1:1" x14ac:dyDescent="0.2">
      <c r="A106" s="64"/>
    </row>
    <row r="107" spans="1:1" x14ac:dyDescent="0.2">
      <c r="A107" s="64"/>
    </row>
    <row r="108" spans="1:1" x14ac:dyDescent="0.2">
      <c r="A108" s="64"/>
    </row>
    <row r="109" spans="1:1" x14ac:dyDescent="0.2">
      <c r="A109" s="64"/>
    </row>
    <row r="110" spans="1:1" x14ac:dyDescent="0.2">
      <c r="A110" s="64"/>
    </row>
    <row r="111" spans="1:1" x14ac:dyDescent="0.2">
      <c r="A111" s="64"/>
    </row>
    <row r="112" spans="1:1" x14ac:dyDescent="0.2">
      <c r="A112" s="64"/>
    </row>
    <row r="113" spans="1:1" x14ac:dyDescent="0.2">
      <c r="A113" s="64"/>
    </row>
    <row r="114" spans="1:1" x14ac:dyDescent="0.2">
      <c r="A114" s="64"/>
    </row>
    <row r="115" spans="1:1" x14ac:dyDescent="0.2">
      <c r="A115" s="64"/>
    </row>
    <row r="116" spans="1:1" x14ac:dyDescent="0.2">
      <c r="A116" s="64"/>
    </row>
    <row r="117" spans="1:1" x14ac:dyDescent="0.2">
      <c r="A117" s="64"/>
    </row>
    <row r="118" spans="1:1" x14ac:dyDescent="0.2">
      <c r="A118" s="64"/>
    </row>
    <row r="119" spans="1:1" x14ac:dyDescent="0.2">
      <c r="A119" s="64"/>
    </row>
    <row r="120" spans="1:1" x14ac:dyDescent="0.2">
      <c r="A120" s="64"/>
    </row>
    <row r="121" spans="1:1" x14ac:dyDescent="0.2">
      <c r="A121" s="64"/>
    </row>
    <row r="122" spans="1:1" x14ac:dyDescent="0.2">
      <c r="A122" s="64"/>
    </row>
    <row r="123" spans="1:1" x14ac:dyDescent="0.2">
      <c r="A123" s="64"/>
    </row>
    <row r="124" spans="1:1" x14ac:dyDescent="0.2">
      <c r="A124" s="64"/>
    </row>
    <row r="125" spans="1:1" x14ac:dyDescent="0.2">
      <c r="A125" s="64"/>
    </row>
    <row r="126" spans="1:1" x14ac:dyDescent="0.2">
      <c r="A126" s="64"/>
    </row>
    <row r="127" spans="1:1" x14ac:dyDescent="0.2">
      <c r="A127" s="64"/>
    </row>
    <row r="128" spans="1:1" x14ac:dyDescent="0.2">
      <c r="A128" s="64"/>
    </row>
    <row r="129" spans="1:1" x14ac:dyDescent="0.2">
      <c r="A129" s="64"/>
    </row>
    <row r="130" spans="1:1" x14ac:dyDescent="0.2">
      <c r="A130" s="64"/>
    </row>
    <row r="131" spans="1:1" x14ac:dyDescent="0.2">
      <c r="A131" s="64"/>
    </row>
    <row r="132" spans="1:1" x14ac:dyDescent="0.2">
      <c r="A132" s="64"/>
    </row>
    <row r="133" spans="1:1" x14ac:dyDescent="0.2">
      <c r="A133" s="64"/>
    </row>
    <row r="134" spans="1:1" x14ac:dyDescent="0.2">
      <c r="A134" s="64"/>
    </row>
    <row r="135" spans="1:1" x14ac:dyDescent="0.2">
      <c r="A135" s="64"/>
    </row>
    <row r="136" spans="1:1" x14ac:dyDescent="0.2">
      <c r="A136" s="64"/>
    </row>
    <row r="137" spans="1:1" x14ac:dyDescent="0.2">
      <c r="A137" s="64"/>
    </row>
    <row r="138" spans="1:1" x14ac:dyDescent="0.2">
      <c r="A138" s="64"/>
    </row>
    <row r="139" spans="1:1" x14ac:dyDescent="0.2">
      <c r="A139" s="64"/>
    </row>
    <row r="140" spans="1:1" x14ac:dyDescent="0.2">
      <c r="A140" s="64"/>
    </row>
    <row r="141" spans="1:1" x14ac:dyDescent="0.2">
      <c r="A141" s="64"/>
    </row>
    <row r="142" spans="1:1" x14ac:dyDescent="0.2">
      <c r="A142" s="64"/>
    </row>
    <row r="143" spans="1:1" x14ac:dyDescent="0.2">
      <c r="A143" s="64"/>
    </row>
    <row r="144" spans="1:1" x14ac:dyDescent="0.2">
      <c r="A144" s="64"/>
    </row>
    <row r="145" spans="1:1" x14ac:dyDescent="0.2">
      <c r="A145" s="64"/>
    </row>
    <row r="146" spans="1:1" x14ac:dyDescent="0.2">
      <c r="A146" s="64"/>
    </row>
    <row r="147" spans="1:1" x14ac:dyDescent="0.2">
      <c r="A147" s="64"/>
    </row>
    <row r="148" spans="1:1" x14ac:dyDescent="0.2">
      <c r="A148" s="64"/>
    </row>
    <row r="149" spans="1:1" x14ac:dyDescent="0.2">
      <c r="A149" s="64"/>
    </row>
    <row r="150" spans="1:1" x14ac:dyDescent="0.2">
      <c r="A150" s="64"/>
    </row>
    <row r="151" spans="1:1" x14ac:dyDescent="0.2">
      <c r="A151" s="64"/>
    </row>
    <row r="152" spans="1:1" x14ac:dyDescent="0.2">
      <c r="A152" s="64"/>
    </row>
    <row r="153" spans="1:1" x14ac:dyDescent="0.2">
      <c r="A153" s="64"/>
    </row>
    <row r="154" spans="1:1" x14ac:dyDescent="0.2">
      <c r="A154" s="64"/>
    </row>
    <row r="155" spans="1:1" x14ac:dyDescent="0.2">
      <c r="A155" s="64"/>
    </row>
    <row r="156" spans="1:1" x14ac:dyDescent="0.2">
      <c r="A156" s="64"/>
    </row>
    <row r="157" spans="1:1" x14ac:dyDescent="0.2">
      <c r="A157" s="64"/>
    </row>
    <row r="158" spans="1:1" x14ac:dyDescent="0.2">
      <c r="A158" s="64"/>
    </row>
    <row r="159" spans="1:1" x14ac:dyDescent="0.2">
      <c r="A159" s="64"/>
    </row>
    <row r="160" spans="1:1" x14ac:dyDescent="0.2">
      <c r="A160" s="64"/>
    </row>
    <row r="161" spans="1:1" x14ac:dyDescent="0.2">
      <c r="A161" s="64"/>
    </row>
    <row r="162" spans="1:1" x14ac:dyDescent="0.2">
      <c r="A162" s="64"/>
    </row>
    <row r="163" spans="1:1" x14ac:dyDescent="0.2">
      <c r="A163" s="64"/>
    </row>
    <row r="164" spans="1:1" x14ac:dyDescent="0.2">
      <c r="A164" s="64"/>
    </row>
    <row r="165" spans="1:1" x14ac:dyDescent="0.2">
      <c r="A165" s="64"/>
    </row>
    <row r="166" spans="1:1" x14ac:dyDescent="0.2">
      <c r="A166" s="64"/>
    </row>
    <row r="167" spans="1:1" x14ac:dyDescent="0.2">
      <c r="A167" s="64"/>
    </row>
    <row r="168" spans="1:1" x14ac:dyDescent="0.2">
      <c r="A168" s="64"/>
    </row>
    <row r="169" spans="1:1" x14ac:dyDescent="0.2">
      <c r="A169" s="64"/>
    </row>
    <row r="170" spans="1:1" x14ac:dyDescent="0.2">
      <c r="A170" s="64"/>
    </row>
    <row r="171" spans="1:1" x14ac:dyDescent="0.2">
      <c r="A171" s="64"/>
    </row>
    <row r="172" spans="1:1" x14ac:dyDescent="0.2">
      <c r="A172" s="64"/>
    </row>
    <row r="173" spans="1:1" x14ac:dyDescent="0.2">
      <c r="A173" s="64"/>
    </row>
    <row r="174" spans="1:1" x14ac:dyDescent="0.2">
      <c r="A174" s="64"/>
    </row>
    <row r="175" spans="1:1" x14ac:dyDescent="0.2">
      <c r="A175" s="64"/>
    </row>
    <row r="176" spans="1:1" x14ac:dyDescent="0.2">
      <c r="A176" s="64"/>
    </row>
    <row r="177" spans="1:1" x14ac:dyDescent="0.2">
      <c r="A177" s="64"/>
    </row>
    <row r="178" spans="1:1" x14ac:dyDescent="0.2">
      <c r="A178" s="64"/>
    </row>
    <row r="179" spans="1:1" x14ac:dyDescent="0.2">
      <c r="A179" s="64"/>
    </row>
    <row r="180" spans="1:1" x14ac:dyDescent="0.2">
      <c r="A180" s="64"/>
    </row>
    <row r="181" spans="1:1" x14ac:dyDescent="0.2">
      <c r="A181" s="64"/>
    </row>
    <row r="182" spans="1:1" x14ac:dyDescent="0.2">
      <c r="A182" s="64"/>
    </row>
    <row r="183" spans="1:1" x14ac:dyDescent="0.2">
      <c r="A183" s="64"/>
    </row>
    <row r="184" spans="1:1" x14ac:dyDescent="0.2">
      <c r="A184" s="64"/>
    </row>
    <row r="185" spans="1:1" x14ac:dyDescent="0.2">
      <c r="A185" s="64"/>
    </row>
    <row r="186" spans="1:1" x14ac:dyDescent="0.2">
      <c r="A186" s="64"/>
    </row>
    <row r="187" spans="1:1" x14ac:dyDescent="0.2">
      <c r="A187" s="64"/>
    </row>
    <row r="188" spans="1:1" x14ac:dyDescent="0.2">
      <c r="A188" s="64"/>
    </row>
    <row r="189" spans="1:1" x14ac:dyDescent="0.2">
      <c r="A189" s="64"/>
    </row>
    <row r="190" spans="1:1" x14ac:dyDescent="0.2">
      <c r="A190" s="64"/>
    </row>
    <row r="191" spans="1:1" x14ac:dyDescent="0.2">
      <c r="A191" s="64"/>
    </row>
    <row r="192" spans="1:1" x14ac:dyDescent="0.2">
      <c r="A192" s="64"/>
    </row>
    <row r="193" spans="1:1" x14ac:dyDescent="0.2">
      <c r="A193" s="64"/>
    </row>
    <row r="194" spans="1:1" x14ac:dyDescent="0.2">
      <c r="A194" s="64"/>
    </row>
    <row r="195" spans="1:1" x14ac:dyDescent="0.2">
      <c r="A195" s="64"/>
    </row>
    <row r="196" spans="1:1" x14ac:dyDescent="0.2">
      <c r="A196" s="64"/>
    </row>
    <row r="197" spans="1:1" x14ac:dyDescent="0.2">
      <c r="A197" s="64"/>
    </row>
    <row r="198" spans="1:1" x14ac:dyDescent="0.2">
      <c r="A198" s="64"/>
    </row>
    <row r="199" spans="1:1" x14ac:dyDescent="0.2">
      <c r="A199" s="64"/>
    </row>
    <row r="200" spans="1:1" x14ac:dyDescent="0.2">
      <c r="A200" s="64"/>
    </row>
    <row r="201" spans="1:1" x14ac:dyDescent="0.2">
      <c r="A201" s="64"/>
    </row>
    <row r="202" spans="1:1" x14ac:dyDescent="0.2">
      <c r="A202" s="64"/>
    </row>
    <row r="203" spans="1:1" x14ac:dyDescent="0.2">
      <c r="A203" s="64"/>
    </row>
    <row r="204" spans="1:1" x14ac:dyDescent="0.2">
      <c r="A204" s="64"/>
    </row>
    <row r="205" spans="1:1" x14ac:dyDescent="0.2">
      <c r="A205" s="64"/>
    </row>
    <row r="206" spans="1:1" x14ac:dyDescent="0.2">
      <c r="A206" s="64"/>
    </row>
    <row r="207" spans="1:1" x14ac:dyDescent="0.2">
      <c r="A207" s="64"/>
    </row>
    <row r="208" spans="1:1" x14ac:dyDescent="0.2">
      <c r="A208" s="64"/>
    </row>
    <row r="209" spans="1:1" x14ac:dyDescent="0.2">
      <c r="A209" s="64"/>
    </row>
    <row r="210" spans="1:1" x14ac:dyDescent="0.2">
      <c r="A210" s="64"/>
    </row>
    <row r="211" spans="1:1" x14ac:dyDescent="0.2">
      <c r="A211" s="64"/>
    </row>
    <row r="212" spans="1:1" x14ac:dyDescent="0.2">
      <c r="A212" s="64"/>
    </row>
    <row r="213" spans="1:1" x14ac:dyDescent="0.2">
      <c r="A213" s="64"/>
    </row>
    <row r="214" spans="1:1" x14ac:dyDescent="0.2">
      <c r="A214" s="64"/>
    </row>
    <row r="215" spans="1:1" x14ac:dyDescent="0.2">
      <c r="A215" s="64"/>
    </row>
    <row r="216" spans="1:1" x14ac:dyDescent="0.2">
      <c r="A216" s="64"/>
    </row>
    <row r="217" spans="1:1" x14ac:dyDescent="0.2">
      <c r="A217" s="64"/>
    </row>
    <row r="218" spans="1:1" x14ac:dyDescent="0.2">
      <c r="A218" s="64"/>
    </row>
    <row r="219" spans="1:1" x14ac:dyDescent="0.2">
      <c r="A219" s="64"/>
    </row>
    <row r="220" spans="1:1" x14ac:dyDescent="0.2">
      <c r="A220" s="64"/>
    </row>
    <row r="221" spans="1:1" x14ac:dyDescent="0.2">
      <c r="A221" s="64"/>
    </row>
    <row r="222" spans="1:1" x14ac:dyDescent="0.2">
      <c r="A222" s="64"/>
    </row>
    <row r="223" spans="1:1" x14ac:dyDescent="0.2">
      <c r="A223" s="64"/>
    </row>
    <row r="224" spans="1:1" x14ac:dyDescent="0.2">
      <c r="A224" s="64"/>
    </row>
    <row r="225" spans="1:1" x14ac:dyDescent="0.2">
      <c r="A225" s="64"/>
    </row>
    <row r="226" spans="1:1" x14ac:dyDescent="0.2">
      <c r="A226" s="64"/>
    </row>
    <row r="227" spans="1:1" x14ac:dyDescent="0.2">
      <c r="A227" s="64"/>
    </row>
    <row r="228" spans="1:1" x14ac:dyDescent="0.2">
      <c r="A228" s="64"/>
    </row>
    <row r="229" spans="1:1" x14ac:dyDescent="0.2">
      <c r="A229" s="64"/>
    </row>
    <row r="230" spans="1:1" x14ac:dyDescent="0.2">
      <c r="A230" s="64"/>
    </row>
    <row r="231" spans="1:1" x14ac:dyDescent="0.2">
      <c r="A231" s="64"/>
    </row>
    <row r="232" spans="1:1" x14ac:dyDescent="0.2">
      <c r="A232" s="64"/>
    </row>
    <row r="233" spans="1:1" x14ac:dyDescent="0.2">
      <c r="A233" s="64"/>
    </row>
    <row r="234" spans="1:1" x14ac:dyDescent="0.2">
      <c r="A234" s="64"/>
    </row>
    <row r="235" spans="1:1" x14ac:dyDescent="0.2">
      <c r="A235" s="64"/>
    </row>
    <row r="236" spans="1:1" x14ac:dyDescent="0.2">
      <c r="A236" s="64"/>
    </row>
    <row r="237" spans="1:1" x14ac:dyDescent="0.2">
      <c r="A237" s="64"/>
    </row>
    <row r="238" spans="1:1" x14ac:dyDescent="0.2">
      <c r="A238" s="64"/>
    </row>
    <row r="239" spans="1:1" x14ac:dyDescent="0.2">
      <c r="A239" s="64"/>
    </row>
    <row r="240" spans="1:1" x14ac:dyDescent="0.2">
      <c r="A240" s="64"/>
    </row>
    <row r="241" spans="1:1" x14ac:dyDescent="0.2">
      <c r="A241" s="64"/>
    </row>
    <row r="242" spans="1:1" x14ac:dyDescent="0.2">
      <c r="A242" s="64"/>
    </row>
    <row r="243" spans="1:1" x14ac:dyDescent="0.2">
      <c r="A243" s="64"/>
    </row>
    <row r="244" spans="1:1" x14ac:dyDescent="0.2">
      <c r="A244" s="64"/>
    </row>
    <row r="245" spans="1:1" x14ac:dyDescent="0.2">
      <c r="A245" s="64"/>
    </row>
    <row r="246" spans="1:1" x14ac:dyDescent="0.2">
      <c r="A246" s="64"/>
    </row>
    <row r="247" spans="1:1" x14ac:dyDescent="0.2">
      <c r="A247" s="64"/>
    </row>
    <row r="248" spans="1:1" x14ac:dyDescent="0.2">
      <c r="A248" s="64"/>
    </row>
    <row r="249" spans="1:1" x14ac:dyDescent="0.2">
      <c r="A249" s="64"/>
    </row>
    <row r="250" spans="1:1" x14ac:dyDescent="0.2">
      <c r="A250" s="64"/>
    </row>
    <row r="251" spans="1:1" x14ac:dyDescent="0.2">
      <c r="A251" s="64"/>
    </row>
    <row r="252" spans="1:1" x14ac:dyDescent="0.2">
      <c r="A252" s="64"/>
    </row>
    <row r="253" spans="1:1" x14ac:dyDescent="0.2">
      <c r="A253" s="64"/>
    </row>
    <row r="254" spans="1:1" x14ac:dyDescent="0.2">
      <c r="A254" s="64"/>
    </row>
    <row r="255" spans="1:1" x14ac:dyDescent="0.2">
      <c r="A255" s="64"/>
    </row>
    <row r="256" spans="1:1" x14ac:dyDescent="0.2">
      <c r="A256" s="64"/>
    </row>
    <row r="257" spans="1:1" x14ac:dyDescent="0.2">
      <c r="A257" s="64"/>
    </row>
    <row r="258" spans="1:1" x14ac:dyDescent="0.2">
      <c r="A258" s="64"/>
    </row>
    <row r="259" spans="1:1" x14ac:dyDescent="0.2">
      <c r="A259" s="64"/>
    </row>
    <row r="260" spans="1:1" x14ac:dyDescent="0.2">
      <c r="A260" s="64"/>
    </row>
    <row r="261" spans="1:1" x14ac:dyDescent="0.2">
      <c r="A261" s="64"/>
    </row>
    <row r="262" spans="1:1" x14ac:dyDescent="0.2">
      <c r="A262" s="64"/>
    </row>
    <row r="263" spans="1:1" x14ac:dyDescent="0.2">
      <c r="A263" s="64"/>
    </row>
    <row r="264" spans="1:1" x14ac:dyDescent="0.2">
      <c r="A264" s="64"/>
    </row>
    <row r="265" spans="1:1" x14ac:dyDescent="0.2">
      <c r="A265" s="64"/>
    </row>
    <row r="266" spans="1:1" x14ac:dyDescent="0.2">
      <c r="A266" s="64"/>
    </row>
    <row r="267" spans="1:1" x14ac:dyDescent="0.2">
      <c r="A267" s="64"/>
    </row>
    <row r="268" spans="1:1" x14ac:dyDescent="0.2">
      <c r="A268" s="64"/>
    </row>
    <row r="269" spans="1:1" x14ac:dyDescent="0.2">
      <c r="A269" s="64"/>
    </row>
    <row r="270" spans="1:1" x14ac:dyDescent="0.2">
      <c r="A270" s="64"/>
    </row>
    <row r="271" spans="1:1" x14ac:dyDescent="0.2">
      <c r="A271" s="64"/>
    </row>
    <row r="272" spans="1:1" x14ac:dyDescent="0.2">
      <c r="A272" s="64"/>
    </row>
    <row r="273" spans="1:1" x14ac:dyDescent="0.2">
      <c r="A273" s="64"/>
    </row>
    <row r="274" spans="1:1" x14ac:dyDescent="0.2">
      <c r="A274" s="64"/>
    </row>
    <row r="275" spans="1:1" x14ac:dyDescent="0.2">
      <c r="A275" s="64"/>
    </row>
    <row r="276" spans="1:1" x14ac:dyDescent="0.2">
      <c r="A276" s="64"/>
    </row>
    <row r="277" spans="1:1" x14ac:dyDescent="0.2">
      <c r="A277" s="64"/>
    </row>
    <row r="278" spans="1:1" x14ac:dyDescent="0.2">
      <c r="A278" s="64"/>
    </row>
    <row r="279" spans="1:1" x14ac:dyDescent="0.2">
      <c r="A279" s="64"/>
    </row>
    <row r="280" spans="1:1" x14ac:dyDescent="0.2">
      <c r="A280" s="64"/>
    </row>
    <row r="281" spans="1:1" x14ac:dyDescent="0.2">
      <c r="A281" s="64"/>
    </row>
    <row r="282" spans="1:1" x14ac:dyDescent="0.2">
      <c r="A282" s="64"/>
    </row>
    <row r="283" spans="1:1" x14ac:dyDescent="0.2">
      <c r="A283" s="64"/>
    </row>
    <row r="284" spans="1:1" x14ac:dyDescent="0.2">
      <c r="A284" s="64"/>
    </row>
    <row r="285" spans="1:1" x14ac:dyDescent="0.2">
      <c r="A285" s="64"/>
    </row>
    <row r="286" spans="1:1" x14ac:dyDescent="0.2">
      <c r="A286" s="64"/>
    </row>
    <row r="287" spans="1:1" x14ac:dyDescent="0.2">
      <c r="A287" s="64"/>
    </row>
    <row r="288" spans="1:1" x14ac:dyDescent="0.2">
      <c r="A288" s="64"/>
    </row>
    <row r="289" spans="1:1" x14ac:dyDescent="0.2">
      <c r="A289" s="64"/>
    </row>
    <row r="290" spans="1:1" x14ac:dyDescent="0.2">
      <c r="A290" s="64"/>
    </row>
    <row r="291" spans="1:1" x14ac:dyDescent="0.2">
      <c r="A291" s="64"/>
    </row>
    <row r="292" spans="1:1" x14ac:dyDescent="0.2">
      <c r="A292" s="64"/>
    </row>
    <row r="293" spans="1:1" x14ac:dyDescent="0.2">
      <c r="A293" s="64"/>
    </row>
    <row r="294" spans="1:1" x14ac:dyDescent="0.2">
      <c r="A294" s="64"/>
    </row>
    <row r="295" spans="1:1" x14ac:dyDescent="0.2">
      <c r="A295" s="64"/>
    </row>
    <row r="296" spans="1:1" x14ac:dyDescent="0.2">
      <c r="A296" s="64"/>
    </row>
    <row r="297" spans="1:1" x14ac:dyDescent="0.2">
      <c r="A297" s="64"/>
    </row>
    <row r="298" spans="1:1" x14ac:dyDescent="0.2">
      <c r="A298" s="64"/>
    </row>
    <row r="299" spans="1:1" x14ac:dyDescent="0.2">
      <c r="A299" s="64"/>
    </row>
    <row r="300" spans="1:1" x14ac:dyDescent="0.2">
      <c r="A300" s="64"/>
    </row>
    <row r="301" spans="1:1" x14ac:dyDescent="0.2">
      <c r="A301" s="64"/>
    </row>
    <row r="302" spans="1:1" x14ac:dyDescent="0.2">
      <c r="A302" s="64"/>
    </row>
    <row r="303" spans="1:1" x14ac:dyDescent="0.2">
      <c r="A303" s="64"/>
    </row>
    <row r="304" spans="1:1" x14ac:dyDescent="0.2">
      <c r="A304" s="64"/>
    </row>
    <row r="305" spans="1:1" x14ac:dyDescent="0.2">
      <c r="A305" s="64"/>
    </row>
    <row r="306" spans="1:1" x14ac:dyDescent="0.2">
      <c r="A306" s="64"/>
    </row>
    <row r="307" spans="1:1" x14ac:dyDescent="0.2">
      <c r="A307" s="64"/>
    </row>
    <row r="308" spans="1:1" x14ac:dyDescent="0.2">
      <c r="A308" s="64"/>
    </row>
    <row r="309" spans="1:1" x14ac:dyDescent="0.2">
      <c r="A309" s="64"/>
    </row>
    <row r="310" spans="1:1" x14ac:dyDescent="0.2">
      <c r="A310" s="64"/>
    </row>
    <row r="311" spans="1:1" x14ac:dyDescent="0.2">
      <c r="A311" s="64"/>
    </row>
    <row r="312" spans="1:1" x14ac:dyDescent="0.2">
      <c r="A312" s="64"/>
    </row>
    <row r="313" spans="1:1" x14ac:dyDescent="0.2">
      <c r="A313" s="64"/>
    </row>
    <row r="314" spans="1:1" x14ac:dyDescent="0.2">
      <c r="A314" s="64"/>
    </row>
    <row r="315" spans="1:1" x14ac:dyDescent="0.2">
      <c r="A315" s="64"/>
    </row>
    <row r="316" spans="1:1" x14ac:dyDescent="0.2">
      <c r="A316" s="64"/>
    </row>
    <row r="317" spans="1:1" x14ac:dyDescent="0.2">
      <c r="A317" s="64"/>
    </row>
    <row r="318" spans="1:1" x14ac:dyDescent="0.2">
      <c r="A318" s="64"/>
    </row>
    <row r="319" spans="1:1" x14ac:dyDescent="0.2">
      <c r="A319" s="64"/>
    </row>
    <row r="320" spans="1:1" x14ac:dyDescent="0.2">
      <c r="A320" s="64"/>
    </row>
    <row r="321" spans="1:1" x14ac:dyDescent="0.2">
      <c r="A321" s="64"/>
    </row>
    <row r="322" spans="1:1" x14ac:dyDescent="0.2">
      <c r="A322" s="64"/>
    </row>
    <row r="323" spans="1:1" x14ac:dyDescent="0.2">
      <c r="A323" s="64"/>
    </row>
    <row r="324" spans="1:1" x14ac:dyDescent="0.2">
      <c r="A324" s="64"/>
    </row>
    <row r="325" spans="1:1" x14ac:dyDescent="0.2">
      <c r="A325" s="64"/>
    </row>
    <row r="326" spans="1:1" x14ac:dyDescent="0.2">
      <c r="A326" s="64"/>
    </row>
    <row r="327" spans="1:1" x14ac:dyDescent="0.2">
      <c r="A327" s="64"/>
    </row>
    <row r="328" spans="1:1" x14ac:dyDescent="0.2">
      <c r="A328" s="64"/>
    </row>
    <row r="329" spans="1:1" x14ac:dyDescent="0.2">
      <c r="A329" s="64"/>
    </row>
    <row r="330" spans="1:1" x14ac:dyDescent="0.2">
      <c r="A330" s="64"/>
    </row>
    <row r="331" spans="1:1" x14ac:dyDescent="0.2">
      <c r="A331" s="64"/>
    </row>
    <row r="332" spans="1:1" x14ac:dyDescent="0.2">
      <c r="A332" s="64"/>
    </row>
    <row r="333" spans="1:1" x14ac:dyDescent="0.2">
      <c r="A333" s="64"/>
    </row>
    <row r="334" spans="1:1" x14ac:dyDescent="0.2">
      <c r="A334" s="64"/>
    </row>
    <row r="335" spans="1:1" x14ac:dyDescent="0.2">
      <c r="A335" s="64"/>
    </row>
    <row r="336" spans="1:1" x14ac:dyDescent="0.2">
      <c r="A336" s="64"/>
    </row>
    <row r="337" spans="1:1" x14ac:dyDescent="0.2">
      <c r="A337" s="64"/>
    </row>
    <row r="338" spans="1:1" x14ac:dyDescent="0.2">
      <c r="A338" s="64"/>
    </row>
    <row r="339" spans="1:1" x14ac:dyDescent="0.2">
      <c r="A339" s="64"/>
    </row>
    <row r="340" spans="1:1" x14ac:dyDescent="0.2">
      <c r="A340" s="64"/>
    </row>
    <row r="341" spans="1:1" x14ac:dyDescent="0.2">
      <c r="A341" s="64"/>
    </row>
    <row r="342" spans="1:1" x14ac:dyDescent="0.2">
      <c r="A342" s="64"/>
    </row>
    <row r="343" spans="1:1" x14ac:dyDescent="0.2">
      <c r="A343" s="64"/>
    </row>
    <row r="344" spans="1:1" x14ac:dyDescent="0.2">
      <c r="A344" s="64"/>
    </row>
    <row r="345" spans="1:1" x14ac:dyDescent="0.2">
      <c r="A345" s="64"/>
    </row>
    <row r="346" spans="1:1" x14ac:dyDescent="0.2">
      <c r="A346" s="64"/>
    </row>
    <row r="347" spans="1:1" x14ac:dyDescent="0.2">
      <c r="A347" s="64"/>
    </row>
    <row r="348" spans="1:1" x14ac:dyDescent="0.2">
      <c r="A348" s="64"/>
    </row>
    <row r="349" spans="1:1" x14ac:dyDescent="0.2">
      <c r="A349" s="64"/>
    </row>
    <row r="350" spans="1:1" x14ac:dyDescent="0.2">
      <c r="A350" s="64"/>
    </row>
    <row r="351" spans="1:1" x14ac:dyDescent="0.2">
      <c r="A351" s="64"/>
    </row>
    <row r="352" spans="1:1" x14ac:dyDescent="0.2">
      <c r="A352" s="64"/>
    </row>
    <row r="353" spans="1:1" x14ac:dyDescent="0.2">
      <c r="A353" s="64"/>
    </row>
    <row r="354" spans="1:1" x14ac:dyDescent="0.2">
      <c r="A354" s="64"/>
    </row>
    <row r="355" spans="1:1" x14ac:dyDescent="0.2">
      <c r="A355" s="64"/>
    </row>
    <row r="356" spans="1:1" x14ac:dyDescent="0.2">
      <c r="A356" s="64"/>
    </row>
    <row r="357" spans="1:1" x14ac:dyDescent="0.2">
      <c r="A357" s="64"/>
    </row>
    <row r="358" spans="1:1" x14ac:dyDescent="0.2">
      <c r="A358" s="64"/>
    </row>
    <row r="359" spans="1:1" x14ac:dyDescent="0.2">
      <c r="A359" s="64"/>
    </row>
    <row r="360" spans="1:1" x14ac:dyDescent="0.2">
      <c r="A360" s="64"/>
    </row>
    <row r="361" spans="1:1" x14ac:dyDescent="0.2">
      <c r="A361" s="64"/>
    </row>
    <row r="362" spans="1:1" x14ac:dyDescent="0.2">
      <c r="A362" s="64"/>
    </row>
    <row r="363" spans="1:1" x14ac:dyDescent="0.2">
      <c r="A363" s="64"/>
    </row>
    <row r="364" spans="1:1" x14ac:dyDescent="0.2">
      <c r="A364" s="64"/>
    </row>
    <row r="365" spans="1:1" x14ac:dyDescent="0.2">
      <c r="A365" s="64"/>
    </row>
    <row r="366" spans="1:1" x14ac:dyDescent="0.2">
      <c r="A366" s="64"/>
    </row>
    <row r="367" spans="1:1" x14ac:dyDescent="0.2">
      <c r="A367" s="64"/>
    </row>
    <row r="368" spans="1:1" x14ac:dyDescent="0.2">
      <c r="A368" s="64"/>
    </row>
    <row r="369" spans="1:1" x14ac:dyDescent="0.2">
      <c r="A369" s="64"/>
    </row>
    <row r="370" spans="1:1" x14ac:dyDescent="0.2">
      <c r="A370" s="64"/>
    </row>
    <row r="371" spans="1:1" x14ac:dyDescent="0.2">
      <c r="A371" s="64"/>
    </row>
    <row r="372" spans="1:1" x14ac:dyDescent="0.2">
      <c r="A372" s="64"/>
    </row>
    <row r="373" spans="1:1" x14ac:dyDescent="0.2">
      <c r="A373" s="64"/>
    </row>
    <row r="374" spans="1:1" x14ac:dyDescent="0.2">
      <c r="A374" s="64"/>
    </row>
    <row r="375" spans="1:1" x14ac:dyDescent="0.2">
      <c r="A375" s="64"/>
    </row>
    <row r="376" spans="1:1" x14ac:dyDescent="0.2">
      <c r="A376" s="64"/>
    </row>
    <row r="377" spans="1:1" x14ac:dyDescent="0.2">
      <c r="A377" s="64"/>
    </row>
    <row r="378" spans="1:1" x14ac:dyDescent="0.2">
      <c r="A378" s="64"/>
    </row>
    <row r="379" spans="1:1" x14ac:dyDescent="0.2">
      <c r="A379" s="64"/>
    </row>
    <row r="380" spans="1:1" x14ac:dyDescent="0.2">
      <c r="A380" s="64"/>
    </row>
    <row r="381" spans="1:1" x14ac:dyDescent="0.2">
      <c r="A381" s="64"/>
    </row>
    <row r="382" spans="1:1" x14ac:dyDescent="0.2">
      <c r="A382" s="64"/>
    </row>
    <row r="383" spans="1:1" x14ac:dyDescent="0.2">
      <c r="A383" s="64"/>
    </row>
    <row r="384" spans="1:1" x14ac:dyDescent="0.2">
      <c r="A384" s="64"/>
    </row>
    <row r="385" spans="1:1" x14ac:dyDescent="0.2">
      <c r="A385" s="64"/>
    </row>
    <row r="386" spans="1:1" x14ac:dyDescent="0.2">
      <c r="A386" s="64"/>
    </row>
    <row r="387" spans="1:1" x14ac:dyDescent="0.2">
      <c r="A387" s="64"/>
    </row>
    <row r="388" spans="1:1" x14ac:dyDescent="0.2">
      <c r="A388" s="64"/>
    </row>
    <row r="389" spans="1:1" x14ac:dyDescent="0.2">
      <c r="A389" s="64"/>
    </row>
    <row r="390" spans="1:1" x14ac:dyDescent="0.2">
      <c r="A390" s="64"/>
    </row>
    <row r="391" spans="1:1" x14ac:dyDescent="0.2">
      <c r="A391" s="64"/>
    </row>
    <row r="392" spans="1:1" x14ac:dyDescent="0.2">
      <c r="A392" s="64"/>
    </row>
    <row r="393" spans="1:1" x14ac:dyDescent="0.2">
      <c r="A393" s="64"/>
    </row>
    <row r="394" spans="1:1" x14ac:dyDescent="0.2">
      <c r="A394" s="64"/>
    </row>
    <row r="395" spans="1:1" x14ac:dyDescent="0.2">
      <c r="A395" s="64"/>
    </row>
    <row r="396" spans="1:1" x14ac:dyDescent="0.2">
      <c r="A396" s="64"/>
    </row>
    <row r="397" spans="1:1" x14ac:dyDescent="0.2">
      <c r="A397" s="64"/>
    </row>
    <row r="398" spans="1:1" x14ac:dyDescent="0.2">
      <c r="A398" s="64"/>
    </row>
    <row r="399" spans="1:1" x14ac:dyDescent="0.2">
      <c r="A399" s="64"/>
    </row>
    <row r="400" spans="1:1" x14ac:dyDescent="0.2">
      <c r="A400" s="64"/>
    </row>
    <row r="401" spans="1:1" x14ac:dyDescent="0.2">
      <c r="A401" s="64"/>
    </row>
    <row r="402" spans="1:1" x14ac:dyDescent="0.2">
      <c r="A402" s="64"/>
    </row>
    <row r="403" spans="1:1" x14ac:dyDescent="0.2">
      <c r="A403" s="64"/>
    </row>
    <row r="404" spans="1:1" x14ac:dyDescent="0.2">
      <c r="A404" s="64"/>
    </row>
    <row r="405" spans="1:1" x14ac:dyDescent="0.2">
      <c r="A405" s="64"/>
    </row>
    <row r="406" spans="1:1" x14ac:dyDescent="0.2">
      <c r="A406" s="64"/>
    </row>
    <row r="407" spans="1:1" x14ac:dyDescent="0.2">
      <c r="A407" s="64"/>
    </row>
    <row r="408" spans="1:1" x14ac:dyDescent="0.2">
      <c r="A408" s="64"/>
    </row>
    <row r="409" spans="1:1" x14ac:dyDescent="0.2">
      <c r="A409" s="64"/>
    </row>
    <row r="410" spans="1:1" x14ac:dyDescent="0.2">
      <c r="A410" s="64"/>
    </row>
    <row r="411" spans="1:1" x14ac:dyDescent="0.2">
      <c r="A411" s="64"/>
    </row>
    <row r="412" spans="1:1" x14ac:dyDescent="0.2">
      <c r="A412" s="64"/>
    </row>
    <row r="413" spans="1:1" x14ac:dyDescent="0.2">
      <c r="A413" s="64"/>
    </row>
    <row r="414" spans="1:1" x14ac:dyDescent="0.2">
      <c r="A414" s="64"/>
    </row>
    <row r="415" spans="1:1" x14ac:dyDescent="0.2">
      <c r="A415" s="64"/>
    </row>
    <row r="416" spans="1:1" x14ac:dyDescent="0.2">
      <c r="A416" s="64"/>
    </row>
    <row r="417" spans="1:1" x14ac:dyDescent="0.2">
      <c r="A417" s="64"/>
    </row>
    <row r="418" spans="1:1" x14ac:dyDescent="0.2">
      <c r="A418" s="64"/>
    </row>
    <row r="419" spans="1:1" x14ac:dyDescent="0.2">
      <c r="A419" s="64"/>
    </row>
    <row r="420" spans="1:1" x14ac:dyDescent="0.2">
      <c r="A420" s="64"/>
    </row>
    <row r="421" spans="1:1" x14ac:dyDescent="0.2">
      <c r="A421" s="64"/>
    </row>
    <row r="422" spans="1:1" x14ac:dyDescent="0.2">
      <c r="A422" s="64"/>
    </row>
    <row r="423" spans="1:1" x14ac:dyDescent="0.2">
      <c r="A423" s="64"/>
    </row>
    <row r="424" spans="1:1" x14ac:dyDescent="0.2">
      <c r="A424" s="64"/>
    </row>
    <row r="425" spans="1:1" x14ac:dyDescent="0.2">
      <c r="A425" s="64"/>
    </row>
    <row r="426" spans="1:1" x14ac:dyDescent="0.2">
      <c r="A426" s="64"/>
    </row>
    <row r="427" spans="1:1" x14ac:dyDescent="0.2">
      <c r="A427" s="64"/>
    </row>
    <row r="428" spans="1:1" x14ac:dyDescent="0.2">
      <c r="A428" s="64"/>
    </row>
    <row r="429" spans="1:1" x14ac:dyDescent="0.2">
      <c r="A429" s="64"/>
    </row>
    <row r="430" spans="1:1" x14ac:dyDescent="0.2">
      <c r="A430" s="64"/>
    </row>
    <row r="431" spans="1:1" x14ac:dyDescent="0.2">
      <c r="A431" s="64"/>
    </row>
    <row r="432" spans="1:1" x14ac:dyDescent="0.2">
      <c r="A432" s="64"/>
    </row>
    <row r="433" spans="1:1" x14ac:dyDescent="0.2">
      <c r="A433" s="64"/>
    </row>
    <row r="434" spans="1:1" x14ac:dyDescent="0.2">
      <c r="A434" s="64"/>
    </row>
    <row r="435" spans="1:1" x14ac:dyDescent="0.2">
      <c r="A435" s="64"/>
    </row>
    <row r="436" spans="1:1" x14ac:dyDescent="0.2">
      <c r="A436" s="64"/>
    </row>
    <row r="437" spans="1:1" x14ac:dyDescent="0.2">
      <c r="A437" s="64"/>
    </row>
    <row r="438" spans="1:1" x14ac:dyDescent="0.2">
      <c r="A438" s="64"/>
    </row>
    <row r="439" spans="1:1" x14ac:dyDescent="0.2">
      <c r="A439" s="64"/>
    </row>
    <row r="440" spans="1:1" x14ac:dyDescent="0.2">
      <c r="A440" s="64"/>
    </row>
    <row r="441" spans="1:1" x14ac:dyDescent="0.2">
      <c r="A441" s="64"/>
    </row>
    <row r="442" spans="1:1" x14ac:dyDescent="0.2">
      <c r="A442" s="64"/>
    </row>
    <row r="443" spans="1:1" x14ac:dyDescent="0.2">
      <c r="A443" s="64"/>
    </row>
    <row r="444" spans="1:1" x14ac:dyDescent="0.2">
      <c r="A444" s="64"/>
    </row>
    <row r="445" spans="1:1" x14ac:dyDescent="0.2">
      <c r="A445" s="64"/>
    </row>
    <row r="446" spans="1:1" x14ac:dyDescent="0.2">
      <c r="A446" s="64"/>
    </row>
    <row r="447" spans="1:1" x14ac:dyDescent="0.2">
      <c r="A447" s="64"/>
    </row>
    <row r="448" spans="1:1" x14ac:dyDescent="0.2">
      <c r="A448" s="64"/>
    </row>
    <row r="449" spans="1:1" x14ac:dyDescent="0.2">
      <c r="A449" s="64"/>
    </row>
    <row r="450" spans="1:1" x14ac:dyDescent="0.2">
      <c r="A450" s="64"/>
    </row>
    <row r="451" spans="1:1" x14ac:dyDescent="0.2">
      <c r="A451" s="64"/>
    </row>
    <row r="452" spans="1:1" x14ac:dyDescent="0.2">
      <c r="A452" s="64"/>
    </row>
    <row r="453" spans="1:1" x14ac:dyDescent="0.2">
      <c r="A453" s="64"/>
    </row>
    <row r="454" spans="1:1" x14ac:dyDescent="0.2">
      <c r="A454" s="64"/>
    </row>
    <row r="455" spans="1:1" x14ac:dyDescent="0.2">
      <c r="A455" s="64"/>
    </row>
    <row r="456" spans="1:1" x14ac:dyDescent="0.2">
      <c r="A456" s="64"/>
    </row>
    <row r="457" spans="1:1" x14ac:dyDescent="0.2">
      <c r="A457" s="64"/>
    </row>
    <row r="458" spans="1:1" x14ac:dyDescent="0.2">
      <c r="A458" s="64"/>
    </row>
    <row r="459" spans="1:1" x14ac:dyDescent="0.2">
      <c r="A459" s="64"/>
    </row>
    <row r="460" spans="1:1" x14ac:dyDescent="0.2">
      <c r="A460" s="64"/>
    </row>
    <row r="461" spans="1:1" x14ac:dyDescent="0.2">
      <c r="A461" s="64"/>
    </row>
    <row r="462" spans="1:1" x14ac:dyDescent="0.2">
      <c r="A462" s="64"/>
    </row>
    <row r="463" spans="1:1" x14ac:dyDescent="0.2">
      <c r="A463" s="64"/>
    </row>
    <row r="464" spans="1:1" x14ac:dyDescent="0.2">
      <c r="A464" s="64"/>
    </row>
    <row r="465" spans="1:1" x14ac:dyDescent="0.2">
      <c r="A465" s="64"/>
    </row>
    <row r="466" spans="1:1" x14ac:dyDescent="0.2">
      <c r="A466" s="64"/>
    </row>
    <row r="467" spans="1:1" x14ac:dyDescent="0.2">
      <c r="A467" s="64"/>
    </row>
    <row r="468" spans="1:1" x14ac:dyDescent="0.2">
      <c r="A468" s="64"/>
    </row>
    <row r="469" spans="1:1" x14ac:dyDescent="0.2">
      <c r="A469" s="64"/>
    </row>
    <row r="470" spans="1:1" x14ac:dyDescent="0.2">
      <c r="A470" s="64"/>
    </row>
    <row r="471" spans="1:1" x14ac:dyDescent="0.2">
      <c r="A471" s="64"/>
    </row>
    <row r="472" spans="1:1" x14ac:dyDescent="0.2">
      <c r="A472" s="64"/>
    </row>
    <row r="473" spans="1:1" x14ac:dyDescent="0.2">
      <c r="A473" s="64"/>
    </row>
    <row r="474" spans="1:1" x14ac:dyDescent="0.2">
      <c r="A474" s="64"/>
    </row>
    <row r="475" spans="1:1" x14ac:dyDescent="0.2">
      <c r="A475" s="64"/>
    </row>
    <row r="476" spans="1:1" x14ac:dyDescent="0.2">
      <c r="A476" s="64"/>
    </row>
    <row r="477" spans="1:1" x14ac:dyDescent="0.2">
      <c r="A477" s="64"/>
    </row>
    <row r="478" spans="1:1" x14ac:dyDescent="0.2">
      <c r="A478" s="64"/>
    </row>
    <row r="479" spans="1:1" x14ac:dyDescent="0.2">
      <c r="A479" s="64"/>
    </row>
    <row r="480" spans="1:1" x14ac:dyDescent="0.2">
      <c r="A480" s="64"/>
    </row>
    <row r="481" spans="1:1" x14ac:dyDescent="0.2">
      <c r="A481" s="64"/>
    </row>
    <row r="482" spans="1:1" x14ac:dyDescent="0.2">
      <c r="A482" s="64"/>
    </row>
    <row r="483" spans="1:1" x14ac:dyDescent="0.2">
      <c r="A483" s="64"/>
    </row>
    <row r="484" spans="1:1" x14ac:dyDescent="0.2">
      <c r="A484" s="64"/>
    </row>
    <row r="485" spans="1:1" x14ac:dyDescent="0.2">
      <c r="A485" s="64"/>
    </row>
    <row r="486" spans="1:1" x14ac:dyDescent="0.2">
      <c r="A486" s="64"/>
    </row>
    <row r="487" spans="1:1" x14ac:dyDescent="0.2">
      <c r="A487" s="64"/>
    </row>
    <row r="488" spans="1:1" x14ac:dyDescent="0.2">
      <c r="A488" s="64"/>
    </row>
    <row r="489" spans="1:1" x14ac:dyDescent="0.2">
      <c r="A489" s="64"/>
    </row>
    <row r="490" spans="1:1" x14ac:dyDescent="0.2">
      <c r="A490" s="64"/>
    </row>
    <row r="491" spans="1:1" x14ac:dyDescent="0.2">
      <c r="A491" s="64"/>
    </row>
    <row r="492" spans="1:1" x14ac:dyDescent="0.2">
      <c r="A492" s="64"/>
    </row>
    <row r="493" spans="1:1" x14ac:dyDescent="0.2">
      <c r="A493" s="64"/>
    </row>
    <row r="494" spans="1:1" x14ac:dyDescent="0.2">
      <c r="A494" s="64"/>
    </row>
    <row r="495" spans="1:1" x14ac:dyDescent="0.2">
      <c r="A495" s="64"/>
    </row>
    <row r="496" spans="1:1" x14ac:dyDescent="0.2">
      <c r="A496" s="64"/>
    </row>
    <row r="497" spans="1:1" x14ac:dyDescent="0.2">
      <c r="A497" s="64"/>
    </row>
    <row r="498" spans="1:1" x14ac:dyDescent="0.2">
      <c r="A498" s="64"/>
    </row>
    <row r="499" spans="1:1" x14ac:dyDescent="0.2">
      <c r="A499" s="64"/>
    </row>
    <row r="500" spans="1:1" x14ac:dyDescent="0.2">
      <c r="A500" s="64"/>
    </row>
    <row r="501" spans="1:1" x14ac:dyDescent="0.2">
      <c r="A501" s="64"/>
    </row>
    <row r="502" spans="1:1" x14ac:dyDescent="0.2">
      <c r="A502" s="64"/>
    </row>
    <row r="503" spans="1:1" x14ac:dyDescent="0.2">
      <c r="A503" s="64"/>
    </row>
    <row r="504" spans="1:1" x14ac:dyDescent="0.2">
      <c r="A504" s="64"/>
    </row>
    <row r="505" spans="1:1" x14ac:dyDescent="0.2">
      <c r="A505" s="64"/>
    </row>
    <row r="506" spans="1:1" x14ac:dyDescent="0.2">
      <c r="A506" s="64"/>
    </row>
    <row r="507" spans="1:1" x14ac:dyDescent="0.2">
      <c r="A507" s="64"/>
    </row>
    <row r="508" spans="1:1" x14ac:dyDescent="0.2">
      <c r="A508" s="64"/>
    </row>
    <row r="509" spans="1:1" x14ac:dyDescent="0.2">
      <c r="A509" s="64"/>
    </row>
    <row r="510" spans="1:1" x14ac:dyDescent="0.2">
      <c r="A510" s="64"/>
    </row>
    <row r="511" spans="1:1" x14ac:dyDescent="0.2">
      <c r="A511" s="64"/>
    </row>
    <row r="512" spans="1:1" x14ac:dyDescent="0.2">
      <c r="A512" s="64"/>
    </row>
    <row r="513" spans="1:1" x14ac:dyDescent="0.2">
      <c r="A513" s="64"/>
    </row>
    <row r="514" spans="1:1" x14ac:dyDescent="0.2">
      <c r="A514" s="64"/>
    </row>
    <row r="515" spans="1:1" x14ac:dyDescent="0.2">
      <c r="A515" s="64"/>
    </row>
    <row r="516" spans="1:1" x14ac:dyDescent="0.2">
      <c r="A516" s="64"/>
    </row>
    <row r="517" spans="1:1" x14ac:dyDescent="0.2">
      <c r="A517" s="64"/>
    </row>
    <row r="518" spans="1:1" x14ac:dyDescent="0.2">
      <c r="A518" s="64"/>
    </row>
    <row r="519" spans="1:1" x14ac:dyDescent="0.2">
      <c r="A519" s="64"/>
    </row>
    <row r="520" spans="1:1" x14ac:dyDescent="0.2">
      <c r="A520" s="64"/>
    </row>
    <row r="521" spans="1:1" x14ac:dyDescent="0.2">
      <c r="A521" s="64"/>
    </row>
    <row r="522" spans="1:1" x14ac:dyDescent="0.2">
      <c r="A522" s="64"/>
    </row>
    <row r="523" spans="1:1" x14ac:dyDescent="0.2">
      <c r="A523" s="64"/>
    </row>
    <row r="524" spans="1:1" x14ac:dyDescent="0.2">
      <c r="A524" s="64"/>
    </row>
    <row r="525" spans="1:1" x14ac:dyDescent="0.2">
      <c r="A525" s="64"/>
    </row>
    <row r="526" spans="1:1" x14ac:dyDescent="0.2">
      <c r="A526" s="64"/>
    </row>
    <row r="527" spans="1:1" x14ac:dyDescent="0.2">
      <c r="A527" s="64"/>
    </row>
    <row r="528" spans="1:1" x14ac:dyDescent="0.2">
      <c r="A528" s="64"/>
    </row>
    <row r="529" spans="1:1" x14ac:dyDescent="0.2">
      <c r="A529" s="64"/>
    </row>
    <row r="530" spans="1:1" x14ac:dyDescent="0.2">
      <c r="A530" s="64"/>
    </row>
    <row r="531" spans="1:1" x14ac:dyDescent="0.2">
      <c r="A531" s="64"/>
    </row>
    <row r="532" spans="1:1" x14ac:dyDescent="0.2">
      <c r="A532" s="64"/>
    </row>
    <row r="533" spans="1:1" x14ac:dyDescent="0.2">
      <c r="A533" s="64"/>
    </row>
    <row r="534" spans="1:1" x14ac:dyDescent="0.2">
      <c r="A534" s="64"/>
    </row>
    <row r="535" spans="1:1" x14ac:dyDescent="0.2">
      <c r="A535" s="64"/>
    </row>
    <row r="536" spans="1:1" x14ac:dyDescent="0.2">
      <c r="A536" s="64"/>
    </row>
    <row r="537" spans="1:1" x14ac:dyDescent="0.2">
      <c r="A537" s="64"/>
    </row>
    <row r="538" spans="1:1" x14ac:dyDescent="0.2">
      <c r="A538" s="64"/>
    </row>
    <row r="539" spans="1:1" x14ac:dyDescent="0.2">
      <c r="A539" s="64"/>
    </row>
    <row r="540" spans="1:1" x14ac:dyDescent="0.2">
      <c r="A540" s="64"/>
    </row>
    <row r="541" spans="1:1" x14ac:dyDescent="0.2">
      <c r="A541" s="64"/>
    </row>
    <row r="542" spans="1:1" x14ac:dyDescent="0.2">
      <c r="A542" s="64"/>
    </row>
    <row r="543" spans="1:1" x14ac:dyDescent="0.2">
      <c r="A543" s="64"/>
    </row>
    <row r="544" spans="1:1" x14ac:dyDescent="0.2">
      <c r="A544" s="64"/>
    </row>
    <row r="545" spans="1:1" x14ac:dyDescent="0.2">
      <c r="A545" s="64"/>
    </row>
    <row r="546" spans="1:1" x14ac:dyDescent="0.2">
      <c r="A546" s="64"/>
    </row>
    <row r="547" spans="1:1" x14ac:dyDescent="0.2">
      <c r="A547" s="64"/>
    </row>
    <row r="548" spans="1:1" x14ac:dyDescent="0.2">
      <c r="A548" s="64"/>
    </row>
    <row r="549" spans="1:1" x14ac:dyDescent="0.2">
      <c r="A549" s="64"/>
    </row>
    <row r="550" spans="1:1" x14ac:dyDescent="0.2">
      <c r="A550" s="64"/>
    </row>
    <row r="551" spans="1:1" x14ac:dyDescent="0.2">
      <c r="A551" s="64"/>
    </row>
    <row r="552" spans="1:1" x14ac:dyDescent="0.2">
      <c r="A552" s="64"/>
    </row>
    <row r="553" spans="1:1" x14ac:dyDescent="0.2">
      <c r="A553" s="64"/>
    </row>
    <row r="554" spans="1:1" x14ac:dyDescent="0.2">
      <c r="A554" s="64"/>
    </row>
    <row r="555" spans="1:1" x14ac:dyDescent="0.2">
      <c r="A555" s="64"/>
    </row>
    <row r="556" spans="1:1" x14ac:dyDescent="0.2">
      <c r="A556" s="64"/>
    </row>
    <row r="557" spans="1:1" x14ac:dyDescent="0.2">
      <c r="A557" s="64"/>
    </row>
    <row r="558" spans="1:1" x14ac:dyDescent="0.2">
      <c r="A558" s="64"/>
    </row>
    <row r="559" spans="1:1" x14ac:dyDescent="0.2">
      <c r="A559" s="64"/>
    </row>
    <row r="560" spans="1:1" x14ac:dyDescent="0.2">
      <c r="A560" s="64"/>
    </row>
    <row r="561" spans="1:1" x14ac:dyDescent="0.2">
      <c r="A561" s="64"/>
    </row>
    <row r="562" spans="1:1" x14ac:dyDescent="0.2">
      <c r="A562" s="64"/>
    </row>
    <row r="563" spans="1:1" x14ac:dyDescent="0.2">
      <c r="A563" s="64"/>
    </row>
    <row r="564" spans="1:1" x14ac:dyDescent="0.2">
      <c r="A564" s="64"/>
    </row>
    <row r="565" spans="1:1" x14ac:dyDescent="0.2">
      <c r="A565" s="64"/>
    </row>
    <row r="566" spans="1:1" x14ac:dyDescent="0.2">
      <c r="A566" s="64"/>
    </row>
    <row r="567" spans="1:1" x14ac:dyDescent="0.2">
      <c r="A567" s="64"/>
    </row>
    <row r="568" spans="1:1" x14ac:dyDescent="0.2">
      <c r="A568" s="64"/>
    </row>
    <row r="569" spans="1:1" x14ac:dyDescent="0.2">
      <c r="A569" s="64"/>
    </row>
    <row r="570" spans="1:1" x14ac:dyDescent="0.2">
      <c r="A570" s="64"/>
    </row>
    <row r="571" spans="1:1" x14ac:dyDescent="0.2">
      <c r="A571" s="64"/>
    </row>
    <row r="572" spans="1:1" x14ac:dyDescent="0.2">
      <c r="A572" s="64"/>
    </row>
    <row r="573" spans="1:1" x14ac:dyDescent="0.2">
      <c r="A573" s="64"/>
    </row>
    <row r="574" spans="1:1" x14ac:dyDescent="0.2">
      <c r="A574" s="64"/>
    </row>
    <row r="575" spans="1:1" x14ac:dyDescent="0.2">
      <c r="A575" s="64"/>
    </row>
    <row r="576" spans="1:1" x14ac:dyDescent="0.2">
      <c r="A576" s="64"/>
    </row>
    <row r="577" spans="1:1" x14ac:dyDescent="0.2">
      <c r="A577" s="64"/>
    </row>
    <row r="578" spans="1:1" x14ac:dyDescent="0.2">
      <c r="A578" s="64"/>
    </row>
    <row r="579" spans="1:1" x14ac:dyDescent="0.2">
      <c r="A579" s="64"/>
    </row>
    <row r="580" spans="1:1" x14ac:dyDescent="0.2">
      <c r="A580" s="64"/>
    </row>
    <row r="581" spans="1:1" x14ac:dyDescent="0.2">
      <c r="A581" s="64"/>
    </row>
    <row r="582" spans="1:1" x14ac:dyDescent="0.2">
      <c r="A582" s="64"/>
    </row>
    <row r="583" spans="1:1" x14ac:dyDescent="0.2">
      <c r="A583" s="64"/>
    </row>
    <row r="584" spans="1:1" x14ac:dyDescent="0.2">
      <c r="A584" s="64"/>
    </row>
    <row r="585" spans="1:1" x14ac:dyDescent="0.2">
      <c r="A585" s="64"/>
    </row>
    <row r="586" spans="1:1" x14ac:dyDescent="0.2">
      <c r="A586" s="64"/>
    </row>
    <row r="587" spans="1:1" x14ac:dyDescent="0.2">
      <c r="A587" s="64"/>
    </row>
    <row r="588" spans="1:1" x14ac:dyDescent="0.2">
      <c r="A588" s="64"/>
    </row>
    <row r="589" spans="1:1" x14ac:dyDescent="0.2">
      <c r="A589" s="64"/>
    </row>
    <row r="590" spans="1:1" x14ac:dyDescent="0.2">
      <c r="A590" s="64"/>
    </row>
    <row r="591" spans="1:1" x14ac:dyDescent="0.2">
      <c r="A591" s="64"/>
    </row>
    <row r="592" spans="1:1" x14ac:dyDescent="0.2">
      <c r="A592" s="64"/>
    </row>
    <row r="593" spans="1:1" x14ac:dyDescent="0.2">
      <c r="A593" s="64"/>
    </row>
    <row r="594" spans="1:1" x14ac:dyDescent="0.2">
      <c r="A594" s="64"/>
    </row>
    <row r="595" spans="1:1" x14ac:dyDescent="0.2">
      <c r="A595" s="64"/>
    </row>
    <row r="596" spans="1:1" x14ac:dyDescent="0.2">
      <c r="A596" s="64"/>
    </row>
    <row r="597" spans="1:1" x14ac:dyDescent="0.2">
      <c r="A597" s="64"/>
    </row>
    <row r="598" spans="1:1" x14ac:dyDescent="0.2">
      <c r="A598" s="64"/>
    </row>
    <row r="599" spans="1:1" x14ac:dyDescent="0.2">
      <c r="A599" s="64"/>
    </row>
    <row r="600" spans="1:1" x14ac:dyDescent="0.2">
      <c r="A600" s="64"/>
    </row>
    <row r="601" spans="1:1" x14ac:dyDescent="0.2">
      <c r="A601" s="64"/>
    </row>
    <row r="602" spans="1:1" x14ac:dyDescent="0.2">
      <c r="A602" s="64"/>
    </row>
    <row r="603" spans="1:1" x14ac:dyDescent="0.2">
      <c r="A603" s="64"/>
    </row>
    <row r="604" spans="1:1" x14ac:dyDescent="0.2">
      <c r="A604" s="64"/>
    </row>
    <row r="605" spans="1:1" x14ac:dyDescent="0.2">
      <c r="A605" s="64"/>
    </row>
    <row r="606" spans="1:1" x14ac:dyDescent="0.2">
      <c r="A606" s="64"/>
    </row>
    <row r="607" spans="1:1" x14ac:dyDescent="0.2">
      <c r="A607" s="64"/>
    </row>
    <row r="608" spans="1:1" x14ac:dyDescent="0.2">
      <c r="A608" s="64"/>
    </row>
    <row r="609" spans="1:1" x14ac:dyDescent="0.2">
      <c r="A609" s="64"/>
    </row>
    <row r="610" spans="1:1" x14ac:dyDescent="0.2">
      <c r="A610" s="64"/>
    </row>
    <row r="611" spans="1:1" x14ac:dyDescent="0.2">
      <c r="A611" s="64"/>
    </row>
    <row r="612" spans="1:1" x14ac:dyDescent="0.2">
      <c r="A612" s="64"/>
    </row>
    <row r="613" spans="1:1" x14ac:dyDescent="0.2">
      <c r="A613" s="64"/>
    </row>
    <row r="614" spans="1:1" x14ac:dyDescent="0.2">
      <c r="A614" s="64"/>
    </row>
    <row r="615" spans="1:1" x14ac:dyDescent="0.2">
      <c r="A615" s="64"/>
    </row>
    <row r="616" spans="1:1" x14ac:dyDescent="0.2">
      <c r="A616" s="64"/>
    </row>
    <row r="617" spans="1:1" x14ac:dyDescent="0.2">
      <c r="A617" s="64"/>
    </row>
    <row r="618" spans="1:1" x14ac:dyDescent="0.2">
      <c r="A618" s="64"/>
    </row>
    <row r="619" spans="1:1" x14ac:dyDescent="0.2">
      <c r="A619" s="64"/>
    </row>
    <row r="620" spans="1:1" x14ac:dyDescent="0.2">
      <c r="A620" s="64"/>
    </row>
    <row r="621" spans="1:1" x14ac:dyDescent="0.2">
      <c r="A621" s="64"/>
    </row>
    <row r="622" spans="1:1" x14ac:dyDescent="0.2">
      <c r="A622" s="64"/>
    </row>
    <row r="623" spans="1:1" x14ac:dyDescent="0.2">
      <c r="A623" s="64"/>
    </row>
    <row r="624" spans="1:1" x14ac:dyDescent="0.2">
      <c r="A624" s="64"/>
    </row>
    <row r="625" spans="1:1" x14ac:dyDescent="0.2">
      <c r="A625" s="64"/>
    </row>
    <row r="626" spans="1:1" x14ac:dyDescent="0.2">
      <c r="A626" s="64"/>
    </row>
    <row r="627" spans="1:1" x14ac:dyDescent="0.2">
      <c r="A627" s="64"/>
    </row>
    <row r="628" spans="1:1" x14ac:dyDescent="0.2">
      <c r="A628" s="64"/>
    </row>
    <row r="629" spans="1:1" x14ac:dyDescent="0.2">
      <c r="A629" s="64"/>
    </row>
    <row r="630" spans="1:1" x14ac:dyDescent="0.2">
      <c r="A630" s="64"/>
    </row>
    <row r="631" spans="1:1" x14ac:dyDescent="0.2">
      <c r="A631" s="64"/>
    </row>
    <row r="632" spans="1:1" x14ac:dyDescent="0.2">
      <c r="A632" s="64"/>
    </row>
    <row r="633" spans="1:1" x14ac:dyDescent="0.2">
      <c r="A633" s="64"/>
    </row>
    <row r="634" spans="1:1" x14ac:dyDescent="0.2">
      <c r="A634" s="64"/>
    </row>
    <row r="635" spans="1:1" x14ac:dyDescent="0.2">
      <c r="A635" s="64"/>
    </row>
    <row r="636" spans="1:1" x14ac:dyDescent="0.2">
      <c r="A636" s="64"/>
    </row>
    <row r="637" spans="1:1" x14ac:dyDescent="0.2">
      <c r="A637" s="64"/>
    </row>
    <row r="638" spans="1:1" x14ac:dyDescent="0.2">
      <c r="A638" s="64"/>
    </row>
    <row r="639" spans="1:1" x14ac:dyDescent="0.2">
      <c r="A639" s="64"/>
    </row>
    <row r="640" spans="1:1" x14ac:dyDescent="0.2">
      <c r="A640" s="64"/>
    </row>
    <row r="641" spans="1:1" x14ac:dyDescent="0.2">
      <c r="A641" s="64"/>
    </row>
    <row r="642" spans="1:1" x14ac:dyDescent="0.2">
      <c r="A642" s="64"/>
    </row>
    <row r="643" spans="1:1" x14ac:dyDescent="0.2">
      <c r="A643" s="64"/>
    </row>
    <row r="644" spans="1:1" x14ac:dyDescent="0.2">
      <c r="A644" s="64"/>
    </row>
    <row r="645" spans="1:1" x14ac:dyDescent="0.2">
      <c r="A645" s="64"/>
    </row>
    <row r="646" spans="1:1" x14ac:dyDescent="0.2">
      <c r="A646" s="64"/>
    </row>
    <row r="647" spans="1:1" x14ac:dyDescent="0.2">
      <c r="A647" s="64"/>
    </row>
    <row r="648" spans="1:1" x14ac:dyDescent="0.2">
      <c r="A648" s="64"/>
    </row>
    <row r="649" spans="1:1" x14ac:dyDescent="0.2">
      <c r="A649" s="64"/>
    </row>
    <row r="650" spans="1:1" x14ac:dyDescent="0.2">
      <c r="A650" s="64"/>
    </row>
    <row r="651" spans="1:1" x14ac:dyDescent="0.2">
      <c r="A651" s="64"/>
    </row>
    <row r="652" spans="1:1" x14ac:dyDescent="0.2">
      <c r="A652" s="64"/>
    </row>
    <row r="653" spans="1:1" x14ac:dyDescent="0.2">
      <c r="A653" s="64"/>
    </row>
    <row r="654" spans="1:1" x14ac:dyDescent="0.2">
      <c r="A654" s="64"/>
    </row>
    <row r="655" spans="1:1" x14ac:dyDescent="0.2">
      <c r="A655" s="64"/>
    </row>
    <row r="656" spans="1:1" x14ac:dyDescent="0.2">
      <c r="A656" s="64"/>
    </row>
    <row r="657" spans="1:1" x14ac:dyDescent="0.2">
      <c r="A657" s="64"/>
    </row>
    <row r="658" spans="1:1" x14ac:dyDescent="0.2">
      <c r="A658" s="64"/>
    </row>
    <row r="659" spans="1:1" x14ac:dyDescent="0.2">
      <c r="A659" s="64"/>
    </row>
    <row r="660" spans="1:1" x14ac:dyDescent="0.2">
      <c r="A660" s="64"/>
    </row>
    <row r="661" spans="1:1" x14ac:dyDescent="0.2">
      <c r="A661" s="64"/>
    </row>
    <row r="662" spans="1:1" x14ac:dyDescent="0.2">
      <c r="A662" s="64"/>
    </row>
    <row r="663" spans="1:1" x14ac:dyDescent="0.2">
      <c r="A663" s="64"/>
    </row>
    <row r="664" spans="1:1" x14ac:dyDescent="0.2">
      <c r="A664" s="64"/>
    </row>
    <row r="665" spans="1:1" x14ac:dyDescent="0.2">
      <c r="A665" s="64"/>
    </row>
    <row r="666" spans="1:1" x14ac:dyDescent="0.2">
      <c r="A666" s="64"/>
    </row>
    <row r="667" spans="1:1" x14ac:dyDescent="0.2">
      <c r="A667" s="64"/>
    </row>
    <row r="668" spans="1:1" x14ac:dyDescent="0.2">
      <c r="A668" s="64"/>
    </row>
    <row r="669" spans="1:1" x14ac:dyDescent="0.2">
      <c r="A669" s="64"/>
    </row>
    <row r="670" spans="1:1" x14ac:dyDescent="0.2">
      <c r="A670" s="64"/>
    </row>
    <row r="671" spans="1:1" x14ac:dyDescent="0.2">
      <c r="A671" s="64"/>
    </row>
    <row r="672" spans="1:1" x14ac:dyDescent="0.2">
      <c r="A672" s="64"/>
    </row>
    <row r="673" spans="1:1" x14ac:dyDescent="0.2">
      <c r="A673" s="64"/>
    </row>
    <row r="674" spans="1:1" x14ac:dyDescent="0.2">
      <c r="A674" s="64"/>
    </row>
    <row r="675" spans="1:1" x14ac:dyDescent="0.2">
      <c r="A675" s="64"/>
    </row>
    <row r="676" spans="1:1" x14ac:dyDescent="0.2">
      <c r="A676" s="64"/>
    </row>
    <row r="677" spans="1:1" x14ac:dyDescent="0.2">
      <c r="A677" s="64"/>
    </row>
    <row r="678" spans="1:1" x14ac:dyDescent="0.2">
      <c r="A678" s="64"/>
    </row>
    <row r="679" spans="1:1" x14ac:dyDescent="0.2">
      <c r="A679" s="64"/>
    </row>
    <row r="680" spans="1:1" x14ac:dyDescent="0.2">
      <c r="A680" s="64"/>
    </row>
    <row r="681" spans="1:1" x14ac:dyDescent="0.2">
      <c r="A681" s="64"/>
    </row>
    <row r="682" spans="1:1" x14ac:dyDescent="0.2">
      <c r="A682" s="64"/>
    </row>
    <row r="683" spans="1:1" x14ac:dyDescent="0.2">
      <c r="A683" s="64"/>
    </row>
    <row r="684" spans="1:1" x14ac:dyDescent="0.2">
      <c r="A684" s="64"/>
    </row>
    <row r="685" spans="1:1" x14ac:dyDescent="0.2">
      <c r="A685" s="64"/>
    </row>
    <row r="686" spans="1:1" x14ac:dyDescent="0.2">
      <c r="A686" s="64"/>
    </row>
    <row r="687" spans="1:1" x14ac:dyDescent="0.2">
      <c r="A687" s="64"/>
    </row>
    <row r="688" spans="1:1" x14ac:dyDescent="0.2">
      <c r="A688" s="64"/>
    </row>
    <row r="689" spans="1:1" x14ac:dyDescent="0.2">
      <c r="A689" s="64"/>
    </row>
    <row r="690" spans="1:1" x14ac:dyDescent="0.2">
      <c r="A690" s="64"/>
    </row>
    <row r="691" spans="1:1" x14ac:dyDescent="0.2">
      <c r="A691" s="64"/>
    </row>
    <row r="692" spans="1:1" x14ac:dyDescent="0.2">
      <c r="A692" s="64"/>
    </row>
    <row r="693" spans="1:1" x14ac:dyDescent="0.2">
      <c r="A693" s="64"/>
    </row>
    <row r="694" spans="1:1" x14ac:dyDescent="0.2">
      <c r="A694" s="64"/>
    </row>
    <row r="695" spans="1:1" x14ac:dyDescent="0.2">
      <c r="A695" s="64"/>
    </row>
    <row r="696" spans="1:1" x14ac:dyDescent="0.2">
      <c r="A696" s="64"/>
    </row>
    <row r="697" spans="1:1" x14ac:dyDescent="0.2">
      <c r="A697" s="64"/>
    </row>
    <row r="698" spans="1:1" x14ac:dyDescent="0.2">
      <c r="A698" s="64"/>
    </row>
    <row r="699" spans="1:1" x14ac:dyDescent="0.2">
      <c r="A699" s="64"/>
    </row>
    <row r="700" spans="1:1" x14ac:dyDescent="0.2">
      <c r="A700" s="64"/>
    </row>
    <row r="701" spans="1:1" x14ac:dyDescent="0.2">
      <c r="A701" s="64"/>
    </row>
    <row r="702" spans="1:1" x14ac:dyDescent="0.2">
      <c r="A702" s="64"/>
    </row>
    <row r="703" spans="1:1" x14ac:dyDescent="0.2">
      <c r="A703" s="64"/>
    </row>
    <row r="704" spans="1:1" x14ac:dyDescent="0.2">
      <c r="A704" s="64"/>
    </row>
    <row r="705" spans="1:1" x14ac:dyDescent="0.2">
      <c r="A705" s="64"/>
    </row>
    <row r="706" spans="1:1" x14ac:dyDescent="0.2">
      <c r="A706" s="64"/>
    </row>
    <row r="707" spans="1:1" x14ac:dyDescent="0.2">
      <c r="A707" s="64"/>
    </row>
    <row r="708" spans="1:1" x14ac:dyDescent="0.2">
      <c r="A708" s="64"/>
    </row>
    <row r="709" spans="1:1" x14ac:dyDescent="0.2">
      <c r="A709" s="64"/>
    </row>
    <row r="710" spans="1:1" x14ac:dyDescent="0.2">
      <c r="A710" s="64"/>
    </row>
    <row r="711" spans="1:1" x14ac:dyDescent="0.2">
      <c r="A711" s="64"/>
    </row>
    <row r="712" spans="1:1" x14ac:dyDescent="0.2">
      <c r="A712" s="64"/>
    </row>
    <row r="713" spans="1:1" x14ac:dyDescent="0.2">
      <c r="A713" s="64"/>
    </row>
    <row r="714" spans="1:1" x14ac:dyDescent="0.2">
      <c r="A714" s="64"/>
    </row>
    <row r="715" spans="1:1" x14ac:dyDescent="0.2">
      <c r="A715" s="64"/>
    </row>
    <row r="716" spans="1:1" x14ac:dyDescent="0.2">
      <c r="A716" s="64"/>
    </row>
    <row r="717" spans="1:1" x14ac:dyDescent="0.2">
      <c r="A717" s="64"/>
    </row>
    <row r="718" spans="1:1" x14ac:dyDescent="0.2">
      <c r="A718" s="64"/>
    </row>
    <row r="719" spans="1:1" x14ac:dyDescent="0.2">
      <c r="A719" s="64"/>
    </row>
    <row r="720" spans="1:1" x14ac:dyDescent="0.2">
      <c r="A720" s="64"/>
    </row>
    <row r="721" spans="1:1" x14ac:dyDescent="0.2">
      <c r="A721" s="64"/>
    </row>
    <row r="722" spans="1:1" x14ac:dyDescent="0.2">
      <c r="A722" s="64"/>
    </row>
    <row r="723" spans="1:1" x14ac:dyDescent="0.2">
      <c r="A723" s="64"/>
    </row>
    <row r="724" spans="1:1" x14ac:dyDescent="0.2">
      <c r="A724" s="64"/>
    </row>
    <row r="725" spans="1:1" x14ac:dyDescent="0.2">
      <c r="A725" s="64"/>
    </row>
    <row r="726" spans="1:1" x14ac:dyDescent="0.2">
      <c r="A726" s="64"/>
    </row>
    <row r="727" spans="1:1" x14ac:dyDescent="0.2">
      <c r="A727" s="64"/>
    </row>
    <row r="728" spans="1:1" x14ac:dyDescent="0.2">
      <c r="A728" s="64"/>
    </row>
    <row r="729" spans="1:1" x14ac:dyDescent="0.2">
      <c r="A729" s="64"/>
    </row>
    <row r="730" spans="1:1" x14ac:dyDescent="0.2">
      <c r="A730" s="64"/>
    </row>
    <row r="731" spans="1:1" x14ac:dyDescent="0.2">
      <c r="A731" s="64"/>
    </row>
    <row r="732" spans="1:1" x14ac:dyDescent="0.2">
      <c r="A732" s="64"/>
    </row>
    <row r="733" spans="1:1" x14ac:dyDescent="0.2">
      <c r="A733" s="64"/>
    </row>
    <row r="734" spans="1:1" x14ac:dyDescent="0.2">
      <c r="A734" s="64"/>
    </row>
    <row r="735" spans="1:1" x14ac:dyDescent="0.2">
      <c r="A735" s="64"/>
    </row>
    <row r="736" spans="1:1" x14ac:dyDescent="0.2">
      <c r="A736" s="64"/>
    </row>
    <row r="737" spans="1:1" x14ac:dyDescent="0.2">
      <c r="A737" s="64"/>
    </row>
    <row r="738" spans="1:1" x14ac:dyDescent="0.2">
      <c r="A738" s="64"/>
    </row>
    <row r="739" spans="1:1" x14ac:dyDescent="0.2">
      <c r="A739" s="64"/>
    </row>
    <row r="740" spans="1:1" x14ac:dyDescent="0.2">
      <c r="A740" s="64"/>
    </row>
    <row r="741" spans="1:1" x14ac:dyDescent="0.2">
      <c r="A741" s="64"/>
    </row>
    <row r="742" spans="1:1" x14ac:dyDescent="0.2">
      <c r="A742" s="64"/>
    </row>
    <row r="743" spans="1:1" x14ac:dyDescent="0.2">
      <c r="A743" s="64"/>
    </row>
    <row r="744" spans="1:1" x14ac:dyDescent="0.2">
      <c r="A744" s="64"/>
    </row>
    <row r="745" spans="1:1" x14ac:dyDescent="0.2">
      <c r="A745" s="64"/>
    </row>
    <row r="746" spans="1:1" x14ac:dyDescent="0.2">
      <c r="A746" s="64"/>
    </row>
    <row r="747" spans="1:1" x14ac:dyDescent="0.2">
      <c r="A747" s="64"/>
    </row>
    <row r="748" spans="1:1" x14ac:dyDescent="0.2">
      <c r="A748" s="64"/>
    </row>
    <row r="749" spans="1:1" x14ac:dyDescent="0.2">
      <c r="A749" s="64"/>
    </row>
    <row r="750" spans="1:1" x14ac:dyDescent="0.2">
      <c r="A750" s="64"/>
    </row>
    <row r="751" spans="1:1" x14ac:dyDescent="0.2">
      <c r="A751" s="64"/>
    </row>
    <row r="752" spans="1:1" x14ac:dyDescent="0.2">
      <c r="A752" s="64"/>
    </row>
    <row r="753" spans="1:1" x14ac:dyDescent="0.2">
      <c r="A753" s="64"/>
    </row>
    <row r="754" spans="1:1" x14ac:dyDescent="0.2">
      <c r="A754" s="64"/>
    </row>
    <row r="755" spans="1:1" x14ac:dyDescent="0.2">
      <c r="A755" s="64"/>
    </row>
    <row r="756" spans="1:1" x14ac:dyDescent="0.2">
      <c r="A756" s="64"/>
    </row>
    <row r="757" spans="1:1" x14ac:dyDescent="0.2">
      <c r="A757" s="64"/>
    </row>
    <row r="758" spans="1:1" x14ac:dyDescent="0.2">
      <c r="A758" s="64"/>
    </row>
    <row r="759" spans="1:1" x14ac:dyDescent="0.2">
      <c r="A759" s="64"/>
    </row>
    <row r="760" spans="1:1" x14ac:dyDescent="0.2">
      <c r="A760" s="64"/>
    </row>
    <row r="761" spans="1:1" x14ac:dyDescent="0.2">
      <c r="A761" s="64"/>
    </row>
    <row r="762" spans="1:1" x14ac:dyDescent="0.2">
      <c r="A762" s="64"/>
    </row>
    <row r="763" spans="1:1" x14ac:dyDescent="0.2">
      <c r="A763" s="64"/>
    </row>
    <row r="764" spans="1:1" x14ac:dyDescent="0.2">
      <c r="A764" s="64"/>
    </row>
    <row r="765" spans="1:1" x14ac:dyDescent="0.2">
      <c r="A765" s="64"/>
    </row>
    <row r="766" spans="1:1" x14ac:dyDescent="0.2">
      <c r="A766" s="64"/>
    </row>
    <row r="767" spans="1:1" x14ac:dyDescent="0.2">
      <c r="A767" s="64"/>
    </row>
    <row r="768" spans="1:1" x14ac:dyDescent="0.2">
      <c r="A768" s="64"/>
    </row>
    <row r="769" spans="1:1" x14ac:dyDescent="0.2">
      <c r="A769" s="64"/>
    </row>
    <row r="770" spans="1:1" x14ac:dyDescent="0.2">
      <c r="A770" s="64"/>
    </row>
    <row r="771" spans="1:1" x14ac:dyDescent="0.2">
      <c r="A771" s="64"/>
    </row>
    <row r="772" spans="1:1" x14ac:dyDescent="0.2">
      <c r="A772" s="64"/>
    </row>
    <row r="773" spans="1:1" x14ac:dyDescent="0.2">
      <c r="A773" s="64"/>
    </row>
    <row r="774" spans="1:1" x14ac:dyDescent="0.2">
      <c r="A774" s="64"/>
    </row>
    <row r="775" spans="1:1" x14ac:dyDescent="0.2">
      <c r="A775" s="64"/>
    </row>
    <row r="776" spans="1:1" x14ac:dyDescent="0.2">
      <c r="A776" s="64"/>
    </row>
    <row r="777" spans="1:1" x14ac:dyDescent="0.2">
      <c r="A777" s="64"/>
    </row>
    <row r="778" spans="1:1" x14ac:dyDescent="0.2">
      <c r="A778" s="64"/>
    </row>
    <row r="779" spans="1:1" x14ac:dyDescent="0.2">
      <c r="A779" s="64"/>
    </row>
    <row r="780" spans="1:1" x14ac:dyDescent="0.2">
      <c r="A780" s="64"/>
    </row>
    <row r="781" spans="1:1" x14ac:dyDescent="0.2">
      <c r="A781" s="64"/>
    </row>
    <row r="782" spans="1:1" x14ac:dyDescent="0.2">
      <c r="A782" s="64"/>
    </row>
    <row r="783" spans="1:1" x14ac:dyDescent="0.2">
      <c r="A783" s="64"/>
    </row>
    <row r="784" spans="1:1" x14ac:dyDescent="0.2">
      <c r="A784" s="64"/>
    </row>
    <row r="785" spans="1:1" x14ac:dyDescent="0.2">
      <c r="A785" s="64"/>
    </row>
    <row r="786" spans="1:1" x14ac:dyDescent="0.2">
      <c r="A786" s="64"/>
    </row>
    <row r="787" spans="1:1" x14ac:dyDescent="0.2">
      <c r="A787" s="64"/>
    </row>
    <row r="788" spans="1:1" x14ac:dyDescent="0.2">
      <c r="A788" s="64"/>
    </row>
    <row r="789" spans="1:1" x14ac:dyDescent="0.2">
      <c r="A789" s="64"/>
    </row>
    <row r="790" spans="1:1" x14ac:dyDescent="0.2">
      <c r="A790" s="64"/>
    </row>
    <row r="791" spans="1:1" x14ac:dyDescent="0.2">
      <c r="A791" s="64"/>
    </row>
    <row r="792" spans="1:1" x14ac:dyDescent="0.2">
      <c r="A792" s="64"/>
    </row>
    <row r="793" spans="1:1" x14ac:dyDescent="0.2">
      <c r="A793" s="64"/>
    </row>
    <row r="794" spans="1:1" x14ac:dyDescent="0.2">
      <c r="A794" s="64"/>
    </row>
    <row r="795" spans="1:1" x14ac:dyDescent="0.2">
      <c r="A795" s="64"/>
    </row>
    <row r="796" spans="1:1" x14ac:dyDescent="0.2">
      <c r="A796" s="64"/>
    </row>
    <row r="797" spans="1:1" x14ac:dyDescent="0.2">
      <c r="A797" s="64"/>
    </row>
    <row r="798" spans="1:1" x14ac:dyDescent="0.2">
      <c r="A798" s="64"/>
    </row>
    <row r="799" spans="1:1" x14ac:dyDescent="0.2">
      <c r="A799" s="64"/>
    </row>
    <row r="800" spans="1:1" x14ac:dyDescent="0.2">
      <c r="A800" s="64"/>
    </row>
    <row r="801" spans="1:1" x14ac:dyDescent="0.2">
      <c r="A801" s="64"/>
    </row>
    <row r="802" spans="1:1" x14ac:dyDescent="0.2">
      <c r="A802" s="64"/>
    </row>
    <row r="803" spans="1:1" x14ac:dyDescent="0.2">
      <c r="A803" s="64"/>
    </row>
    <row r="804" spans="1:1" x14ac:dyDescent="0.2">
      <c r="A804" s="64"/>
    </row>
    <row r="805" spans="1:1" x14ac:dyDescent="0.2">
      <c r="A805" s="64"/>
    </row>
    <row r="806" spans="1:1" x14ac:dyDescent="0.2">
      <c r="A806" s="64"/>
    </row>
    <row r="807" spans="1:1" x14ac:dyDescent="0.2">
      <c r="A807" s="64"/>
    </row>
    <row r="808" spans="1:1" x14ac:dyDescent="0.2">
      <c r="A808" s="64"/>
    </row>
    <row r="809" spans="1:1" x14ac:dyDescent="0.2">
      <c r="A809" s="64"/>
    </row>
    <row r="810" spans="1:1" x14ac:dyDescent="0.2">
      <c r="A810" s="64"/>
    </row>
    <row r="811" spans="1:1" x14ac:dyDescent="0.2">
      <c r="A811" s="64"/>
    </row>
    <row r="812" spans="1:1" x14ac:dyDescent="0.2">
      <c r="A812" s="64"/>
    </row>
    <row r="813" spans="1:1" x14ac:dyDescent="0.2">
      <c r="A813" s="64"/>
    </row>
    <row r="814" spans="1:1" x14ac:dyDescent="0.2">
      <c r="A814" s="64"/>
    </row>
    <row r="815" spans="1:1" x14ac:dyDescent="0.2">
      <c r="A815" s="64"/>
    </row>
    <row r="816" spans="1:1" x14ac:dyDescent="0.2">
      <c r="A816" s="64"/>
    </row>
    <row r="817" spans="1:1" x14ac:dyDescent="0.2">
      <c r="A817" s="64"/>
    </row>
    <row r="818" spans="1:1" x14ac:dyDescent="0.2">
      <c r="A818" s="64"/>
    </row>
    <row r="819" spans="1:1" x14ac:dyDescent="0.2">
      <c r="A819" s="64"/>
    </row>
    <row r="820" spans="1:1" x14ac:dyDescent="0.2">
      <c r="A820" s="64"/>
    </row>
    <row r="821" spans="1:1" x14ac:dyDescent="0.2">
      <c r="A821" s="64"/>
    </row>
    <row r="822" spans="1:1" x14ac:dyDescent="0.2">
      <c r="A822" s="64"/>
    </row>
    <row r="823" spans="1:1" x14ac:dyDescent="0.2">
      <c r="A823" s="64"/>
    </row>
    <row r="824" spans="1:1" x14ac:dyDescent="0.2">
      <c r="A824" s="64"/>
    </row>
    <row r="825" spans="1:1" x14ac:dyDescent="0.2">
      <c r="A825" s="64"/>
    </row>
    <row r="826" spans="1:1" x14ac:dyDescent="0.2">
      <c r="A826" s="64"/>
    </row>
    <row r="827" spans="1:1" x14ac:dyDescent="0.2">
      <c r="A827" s="64"/>
    </row>
    <row r="828" spans="1:1" x14ac:dyDescent="0.2">
      <c r="A828" s="64"/>
    </row>
    <row r="829" spans="1:1" x14ac:dyDescent="0.2">
      <c r="A829" s="64"/>
    </row>
    <row r="830" spans="1:1" x14ac:dyDescent="0.2">
      <c r="A830" s="64"/>
    </row>
    <row r="831" spans="1:1" x14ac:dyDescent="0.2">
      <c r="A831" s="64"/>
    </row>
    <row r="832" spans="1:1" x14ac:dyDescent="0.2">
      <c r="A832" s="64"/>
    </row>
    <row r="833" spans="1:1" x14ac:dyDescent="0.2">
      <c r="A833" s="64"/>
    </row>
    <row r="834" spans="1:1" x14ac:dyDescent="0.2">
      <c r="A834" s="64"/>
    </row>
    <row r="835" spans="1:1" x14ac:dyDescent="0.2">
      <c r="A835" s="64"/>
    </row>
    <row r="836" spans="1:1" x14ac:dyDescent="0.2">
      <c r="A836" s="64"/>
    </row>
    <row r="837" spans="1:1" x14ac:dyDescent="0.2">
      <c r="A837" s="64"/>
    </row>
    <row r="838" spans="1:1" x14ac:dyDescent="0.2">
      <c r="A838" s="64"/>
    </row>
    <row r="839" spans="1:1" x14ac:dyDescent="0.2">
      <c r="A839" s="64"/>
    </row>
    <row r="840" spans="1:1" x14ac:dyDescent="0.2">
      <c r="A840" s="64"/>
    </row>
    <row r="841" spans="1:1" x14ac:dyDescent="0.2">
      <c r="A841" s="64"/>
    </row>
    <row r="842" spans="1:1" x14ac:dyDescent="0.2">
      <c r="A842" s="64"/>
    </row>
    <row r="843" spans="1:1" x14ac:dyDescent="0.2">
      <c r="A843" s="64"/>
    </row>
    <row r="844" spans="1:1" x14ac:dyDescent="0.2">
      <c r="A844" s="64"/>
    </row>
    <row r="845" spans="1:1" x14ac:dyDescent="0.2">
      <c r="A845" s="64"/>
    </row>
    <row r="846" spans="1:1" x14ac:dyDescent="0.2">
      <c r="A846" s="64"/>
    </row>
    <row r="847" spans="1:1" x14ac:dyDescent="0.2">
      <c r="A847" s="64"/>
    </row>
    <row r="848" spans="1:1" x14ac:dyDescent="0.2">
      <c r="A848" s="64"/>
    </row>
    <row r="849" spans="1:1" x14ac:dyDescent="0.2">
      <c r="A849" s="64"/>
    </row>
    <row r="850" spans="1:1" x14ac:dyDescent="0.2">
      <c r="A850" s="64"/>
    </row>
    <row r="851" spans="1:1" x14ac:dyDescent="0.2">
      <c r="A851" s="64"/>
    </row>
    <row r="852" spans="1:1" x14ac:dyDescent="0.2">
      <c r="A852" s="64"/>
    </row>
    <row r="853" spans="1:1" x14ac:dyDescent="0.2">
      <c r="A853" s="64"/>
    </row>
    <row r="854" spans="1:1" x14ac:dyDescent="0.2">
      <c r="A854" s="64"/>
    </row>
    <row r="855" spans="1:1" x14ac:dyDescent="0.2">
      <c r="A855" s="64"/>
    </row>
    <row r="856" spans="1:1" x14ac:dyDescent="0.2">
      <c r="A856" s="64"/>
    </row>
    <row r="857" spans="1:1" x14ac:dyDescent="0.2">
      <c r="A857" s="64"/>
    </row>
    <row r="858" spans="1:1" x14ac:dyDescent="0.2">
      <c r="A858" s="64"/>
    </row>
    <row r="859" spans="1:1" x14ac:dyDescent="0.2">
      <c r="A859" s="64"/>
    </row>
    <row r="860" spans="1:1" x14ac:dyDescent="0.2">
      <c r="A860" s="64"/>
    </row>
    <row r="861" spans="1:1" x14ac:dyDescent="0.2">
      <c r="A861" s="64"/>
    </row>
    <row r="862" spans="1:1" x14ac:dyDescent="0.2">
      <c r="A862" s="64"/>
    </row>
    <row r="863" spans="1:1" x14ac:dyDescent="0.2">
      <c r="A863" s="64"/>
    </row>
    <row r="864" spans="1:1" x14ac:dyDescent="0.2">
      <c r="A864" s="64"/>
    </row>
    <row r="865" spans="1:1" x14ac:dyDescent="0.2">
      <c r="A865" s="64"/>
    </row>
    <row r="866" spans="1:1" x14ac:dyDescent="0.2">
      <c r="A866" s="64"/>
    </row>
    <row r="867" spans="1:1" x14ac:dyDescent="0.2">
      <c r="A867" s="64"/>
    </row>
    <row r="868" spans="1:1" x14ac:dyDescent="0.2">
      <c r="A868" s="64"/>
    </row>
    <row r="869" spans="1:1" x14ac:dyDescent="0.2">
      <c r="A869" s="64"/>
    </row>
    <row r="870" spans="1:1" x14ac:dyDescent="0.2">
      <c r="A870" s="64"/>
    </row>
    <row r="871" spans="1:1" x14ac:dyDescent="0.2">
      <c r="A871" s="64"/>
    </row>
    <row r="872" spans="1:1" x14ac:dyDescent="0.2">
      <c r="A872" s="64"/>
    </row>
    <row r="873" spans="1:1" x14ac:dyDescent="0.2">
      <c r="A873" s="64"/>
    </row>
    <row r="874" spans="1:1" x14ac:dyDescent="0.2">
      <c r="A874" s="64"/>
    </row>
    <row r="875" spans="1:1" x14ac:dyDescent="0.2">
      <c r="A875" s="64"/>
    </row>
    <row r="876" spans="1:1" x14ac:dyDescent="0.2">
      <c r="A876" s="64"/>
    </row>
    <row r="877" spans="1:1" x14ac:dyDescent="0.2">
      <c r="A877" s="64"/>
    </row>
    <row r="878" spans="1:1" x14ac:dyDescent="0.2">
      <c r="A878" s="64"/>
    </row>
    <row r="879" spans="1:1" x14ac:dyDescent="0.2">
      <c r="A879" s="64"/>
    </row>
    <row r="880" spans="1:1" x14ac:dyDescent="0.2">
      <c r="A880" s="64"/>
    </row>
    <row r="881" spans="1:1" x14ac:dyDescent="0.2">
      <c r="A881" s="64"/>
    </row>
    <row r="882" spans="1:1" x14ac:dyDescent="0.2">
      <c r="A882" s="64"/>
    </row>
    <row r="883" spans="1:1" x14ac:dyDescent="0.2">
      <c r="A883" s="64"/>
    </row>
    <row r="884" spans="1:1" x14ac:dyDescent="0.2">
      <c r="A884" s="64"/>
    </row>
    <row r="885" spans="1:1" x14ac:dyDescent="0.2">
      <c r="A885" s="64"/>
    </row>
    <row r="886" spans="1:1" x14ac:dyDescent="0.2">
      <c r="A886" s="64"/>
    </row>
    <row r="887" spans="1:1" x14ac:dyDescent="0.2">
      <c r="A887" s="64"/>
    </row>
    <row r="888" spans="1:1" x14ac:dyDescent="0.2">
      <c r="A888" s="64"/>
    </row>
    <row r="889" spans="1:1" x14ac:dyDescent="0.2">
      <c r="A889" s="64"/>
    </row>
    <row r="890" spans="1:1" x14ac:dyDescent="0.2">
      <c r="A890" s="64"/>
    </row>
    <row r="891" spans="1:1" x14ac:dyDescent="0.2">
      <c r="A891" s="64"/>
    </row>
    <row r="892" spans="1:1" x14ac:dyDescent="0.2">
      <c r="A892" s="64"/>
    </row>
    <row r="893" spans="1:1" x14ac:dyDescent="0.2">
      <c r="A893" s="64"/>
    </row>
    <row r="894" spans="1:1" x14ac:dyDescent="0.2">
      <c r="A894" s="64"/>
    </row>
    <row r="895" spans="1:1" x14ac:dyDescent="0.2">
      <c r="A895" s="64"/>
    </row>
    <row r="896" spans="1:1" x14ac:dyDescent="0.2">
      <c r="A896" s="64"/>
    </row>
    <row r="897" spans="1:1" x14ac:dyDescent="0.2">
      <c r="A897" s="64"/>
    </row>
    <row r="898" spans="1:1" x14ac:dyDescent="0.2">
      <c r="A898" s="64"/>
    </row>
    <row r="899" spans="1:1" x14ac:dyDescent="0.2">
      <c r="A899" s="64"/>
    </row>
    <row r="900" spans="1:1" x14ac:dyDescent="0.2">
      <c r="A900" s="64"/>
    </row>
    <row r="901" spans="1:1" x14ac:dyDescent="0.2">
      <c r="A901" s="64"/>
    </row>
    <row r="902" spans="1:1" x14ac:dyDescent="0.2">
      <c r="A902" s="64"/>
    </row>
    <row r="903" spans="1:1" x14ac:dyDescent="0.2">
      <c r="A903" s="64"/>
    </row>
    <row r="904" spans="1:1" x14ac:dyDescent="0.2">
      <c r="A904" s="64"/>
    </row>
    <row r="905" spans="1:1" x14ac:dyDescent="0.2">
      <c r="A905" s="64"/>
    </row>
    <row r="906" spans="1:1" x14ac:dyDescent="0.2">
      <c r="A906" s="64"/>
    </row>
    <row r="907" spans="1:1" x14ac:dyDescent="0.2">
      <c r="A907" s="64"/>
    </row>
    <row r="908" spans="1:1" x14ac:dyDescent="0.2">
      <c r="A908" s="64"/>
    </row>
    <row r="909" spans="1:1" x14ac:dyDescent="0.2">
      <c r="A909" s="64"/>
    </row>
    <row r="910" spans="1:1" x14ac:dyDescent="0.2">
      <c r="A910" s="64"/>
    </row>
    <row r="911" spans="1:1" x14ac:dyDescent="0.2">
      <c r="A911" s="64"/>
    </row>
    <row r="912" spans="1:1" x14ac:dyDescent="0.2">
      <c r="A912" s="64"/>
    </row>
    <row r="913" spans="1:1" x14ac:dyDescent="0.2">
      <c r="A913" s="64"/>
    </row>
    <row r="914" spans="1:1" x14ac:dyDescent="0.2">
      <c r="A914" s="64"/>
    </row>
    <row r="915" spans="1:1" x14ac:dyDescent="0.2">
      <c r="A915" s="64"/>
    </row>
    <row r="916" spans="1:1" x14ac:dyDescent="0.2">
      <c r="A916" s="64"/>
    </row>
    <row r="917" spans="1:1" x14ac:dyDescent="0.2">
      <c r="A917" s="64"/>
    </row>
    <row r="918" spans="1:1" x14ac:dyDescent="0.2">
      <c r="A918" s="64"/>
    </row>
    <row r="919" spans="1:1" x14ac:dyDescent="0.2">
      <c r="A919" s="64"/>
    </row>
    <row r="920" spans="1:1" x14ac:dyDescent="0.2">
      <c r="A920" s="64"/>
    </row>
    <row r="921" spans="1:1" x14ac:dyDescent="0.2">
      <c r="A921" s="64"/>
    </row>
    <row r="922" spans="1:1" x14ac:dyDescent="0.2">
      <c r="A922" s="64"/>
    </row>
    <row r="923" spans="1:1" x14ac:dyDescent="0.2">
      <c r="A923" s="64"/>
    </row>
    <row r="924" spans="1:1" x14ac:dyDescent="0.2">
      <c r="A924" s="64"/>
    </row>
    <row r="925" spans="1:1" x14ac:dyDescent="0.2">
      <c r="A925" s="64"/>
    </row>
    <row r="926" spans="1:1" x14ac:dyDescent="0.2">
      <c r="A926" s="64"/>
    </row>
    <row r="927" spans="1:1" x14ac:dyDescent="0.2">
      <c r="A927" s="64"/>
    </row>
    <row r="928" spans="1:1" x14ac:dyDescent="0.2">
      <c r="A928" s="64"/>
    </row>
    <row r="929" spans="1:1" x14ac:dyDescent="0.2">
      <c r="A929" s="64"/>
    </row>
    <row r="930" spans="1:1" x14ac:dyDescent="0.2">
      <c r="A930" s="64"/>
    </row>
    <row r="931" spans="1:1" x14ac:dyDescent="0.2">
      <c r="A931" s="64"/>
    </row>
    <row r="932" spans="1:1" x14ac:dyDescent="0.2">
      <c r="A932" s="64"/>
    </row>
    <row r="933" spans="1:1" x14ac:dyDescent="0.2">
      <c r="A933" s="64"/>
    </row>
    <row r="934" spans="1:1" x14ac:dyDescent="0.2">
      <c r="A934" s="64"/>
    </row>
    <row r="935" spans="1:1" x14ac:dyDescent="0.2">
      <c r="A935" s="64"/>
    </row>
    <row r="936" spans="1:1" x14ac:dyDescent="0.2">
      <c r="A936" s="64"/>
    </row>
    <row r="937" spans="1:1" x14ac:dyDescent="0.2">
      <c r="A937" s="64"/>
    </row>
    <row r="938" spans="1:1" x14ac:dyDescent="0.2">
      <c r="A938" s="64"/>
    </row>
    <row r="939" spans="1:1" x14ac:dyDescent="0.2">
      <c r="A939" s="64"/>
    </row>
    <row r="940" spans="1:1" x14ac:dyDescent="0.2">
      <c r="A940" s="64"/>
    </row>
    <row r="941" spans="1:1" x14ac:dyDescent="0.2">
      <c r="A941" s="64"/>
    </row>
    <row r="942" spans="1:1" x14ac:dyDescent="0.2">
      <c r="A942" s="64"/>
    </row>
    <row r="943" spans="1:1" x14ac:dyDescent="0.2">
      <c r="A943" s="64"/>
    </row>
    <row r="944" spans="1:1" x14ac:dyDescent="0.2">
      <c r="A944" s="64"/>
    </row>
    <row r="945" spans="1:1" x14ac:dyDescent="0.2">
      <c r="A945" s="64"/>
    </row>
    <row r="946" spans="1:1" x14ac:dyDescent="0.2">
      <c r="A946" s="64"/>
    </row>
    <row r="947" spans="1:1" x14ac:dyDescent="0.2">
      <c r="A947" s="64"/>
    </row>
    <row r="948" spans="1:1" x14ac:dyDescent="0.2">
      <c r="A948" s="64"/>
    </row>
    <row r="949" spans="1:1" x14ac:dyDescent="0.2">
      <c r="A949" s="64"/>
    </row>
    <row r="950" spans="1:1" x14ac:dyDescent="0.2">
      <c r="A950" s="64"/>
    </row>
    <row r="951" spans="1:1" x14ac:dyDescent="0.2">
      <c r="A951" s="64"/>
    </row>
    <row r="952" spans="1:1" x14ac:dyDescent="0.2">
      <c r="A952" s="64"/>
    </row>
    <row r="953" spans="1:1" x14ac:dyDescent="0.2">
      <c r="A953" s="64"/>
    </row>
    <row r="954" spans="1:1" x14ac:dyDescent="0.2">
      <c r="A954" s="64"/>
    </row>
    <row r="955" spans="1:1" x14ac:dyDescent="0.2">
      <c r="A955" s="64"/>
    </row>
    <row r="956" spans="1:1" x14ac:dyDescent="0.2">
      <c r="A956" s="64"/>
    </row>
    <row r="957" spans="1:1" x14ac:dyDescent="0.2">
      <c r="A957" s="64"/>
    </row>
    <row r="958" spans="1:1" x14ac:dyDescent="0.2">
      <c r="A958" s="64"/>
    </row>
    <row r="959" spans="1:1" x14ac:dyDescent="0.2">
      <c r="A959" s="64"/>
    </row>
    <row r="960" spans="1:1" x14ac:dyDescent="0.2">
      <c r="A960" s="64"/>
    </row>
    <row r="961" spans="1:1" x14ac:dyDescent="0.2">
      <c r="A961" s="64"/>
    </row>
    <row r="962" spans="1:1" x14ac:dyDescent="0.2">
      <c r="A962" s="64"/>
    </row>
    <row r="963" spans="1:1" x14ac:dyDescent="0.2">
      <c r="A963" s="64"/>
    </row>
    <row r="964" spans="1:1" x14ac:dyDescent="0.2">
      <c r="A964" s="64"/>
    </row>
    <row r="965" spans="1:1" x14ac:dyDescent="0.2">
      <c r="A965" s="64"/>
    </row>
    <row r="966" spans="1:1" x14ac:dyDescent="0.2">
      <c r="A966" s="64"/>
    </row>
    <row r="967" spans="1:1" x14ac:dyDescent="0.2">
      <c r="A967" s="64"/>
    </row>
    <row r="968" spans="1:1" x14ac:dyDescent="0.2">
      <c r="A968" s="64"/>
    </row>
    <row r="969" spans="1:1" x14ac:dyDescent="0.2">
      <c r="A969" s="64"/>
    </row>
    <row r="970" spans="1:1" x14ac:dyDescent="0.2">
      <c r="A970" s="64"/>
    </row>
    <row r="971" spans="1:1" x14ac:dyDescent="0.2">
      <c r="A971" s="64"/>
    </row>
    <row r="972" spans="1:1" x14ac:dyDescent="0.2">
      <c r="A972" s="64"/>
    </row>
    <row r="973" spans="1:1" x14ac:dyDescent="0.2">
      <c r="A973" s="64"/>
    </row>
    <row r="974" spans="1:1" x14ac:dyDescent="0.2">
      <c r="A974" s="64"/>
    </row>
    <row r="975" spans="1:1" x14ac:dyDescent="0.2">
      <c r="A975" s="64"/>
    </row>
    <row r="976" spans="1:1" x14ac:dyDescent="0.2">
      <c r="A976" s="64"/>
    </row>
    <row r="977" spans="1:1" x14ac:dyDescent="0.2">
      <c r="A977" s="64"/>
    </row>
    <row r="978" spans="1:1" x14ac:dyDescent="0.2">
      <c r="A978" s="64"/>
    </row>
    <row r="979" spans="1:1" x14ac:dyDescent="0.2">
      <c r="A979" s="64"/>
    </row>
    <row r="980" spans="1:1" x14ac:dyDescent="0.2">
      <c r="A980" s="64"/>
    </row>
    <row r="981" spans="1:1" x14ac:dyDescent="0.2">
      <c r="A981" s="64"/>
    </row>
    <row r="982" spans="1:1" x14ac:dyDescent="0.2">
      <c r="A982" s="64"/>
    </row>
    <row r="983" spans="1:1" x14ac:dyDescent="0.2">
      <c r="A983" s="64"/>
    </row>
    <row r="984" spans="1:1" x14ac:dyDescent="0.2">
      <c r="A984" s="64"/>
    </row>
    <row r="985" spans="1:1" x14ac:dyDescent="0.2">
      <c r="A985" s="64"/>
    </row>
    <row r="986" spans="1:1" x14ac:dyDescent="0.2">
      <c r="A986" s="64"/>
    </row>
    <row r="987" spans="1:1" x14ac:dyDescent="0.2">
      <c r="A987" s="64"/>
    </row>
    <row r="988" spans="1:1" x14ac:dyDescent="0.2">
      <c r="A988" s="64"/>
    </row>
    <row r="989" spans="1:1" x14ac:dyDescent="0.2">
      <c r="A989" s="64"/>
    </row>
    <row r="990" spans="1:1" x14ac:dyDescent="0.2">
      <c r="A990" s="64"/>
    </row>
    <row r="991" spans="1:1" x14ac:dyDescent="0.2">
      <c r="A991" s="64"/>
    </row>
    <row r="992" spans="1:1" x14ac:dyDescent="0.2">
      <c r="A992" s="64"/>
    </row>
    <row r="993" spans="1:1" x14ac:dyDescent="0.2">
      <c r="A993" s="64"/>
    </row>
    <row r="994" spans="1:1" x14ac:dyDescent="0.2">
      <c r="A994" s="64"/>
    </row>
    <row r="995" spans="1:1" x14ac:dyDescent="0.2">
      <c r="A995" s="64"/>
    </row>
    <row r="996" spans="1:1" x14ac:dyDescent="0.2">
      <c r="A996" s="64"/>
    </row>
    <row r="997" spans="1:1" x14ac:dyDescent="0.2">
      <c r="A997" s="64"/>
    </row>
    <row r="998" spans="1:1" x14ac:dyDescent="0.2">
      <c r="A998" s="64"/>
    </row>
    <row r="999" spans="1:1" x14ac:dyDescent="0.2">
      <c r="A999" s="64"/>
    </row>
    <row r="1000" spans="1:1" x14ac:dyDescent="0.2">
      <c r="A1000" s="64"/>
    </row>
    <row r="1001" spans="1:1" x14ac:dyDescent="0.2">
      <c r="A1001" s="64"/>
    </row>
    <row r="1002" spans="1:1" x14ac:dyDescent="0.2">
      <c r="A1002" s="64"/>
    </row>
    <row r="1003" spans="1:1" x14ac:dyDescent="0.2">
      <c r="A1003" s="64"/>
    </row>
  </sheetData>
  <mergeCells count="1">
    <mergeCell ref="C1:E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6</vt:i4>
      </vt:variant>
    </vt:vector>
  </HeadingPairs>
  <TitlesOfParts>
    <vt:vector size="11" baseType="lpstr">
      <vt:lpstr>Welcome</vt:lpstr>
      <vt:lpstr>Birthdays</vt:lpstr>
      <vt:lpstr>Analysis</vt:lpstr>
      <vt:lpstr>Smile Picture</vt:lpstr>
      <vt:lpstr>Simulation</vt:lpstr>
      <vt:lpstr>BDayBin</vt:lpstr>
      <vt:lpstr>Calendar</vt:lpstr>
      <vt:lpstr>Extra1</vt:lpstr>
      <vt:lpstr>Extra2</vt:lpstr>
      <vt:lpstr>HitRes</vt:lpstr>
      <vt:lpstr>ProbRes</vt:lpstr>
    </vt:vector>
  </TitlesOfParts>
  <Company>University of Florida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HannaAhuja</dc:creator>
  <cp:lastModifiedBy>Sandra D. Eksioglu</cp:lastModifiedBy>
  <dcterms:created xsi:type="dcterms:W3CDTF">2002-05-24T17:03:02Z</dcterms:created>
  <dcterms:modified xsi:type="dcterms:W3CDTF">2011-11-20T16:12:35Z</dcterms:modified>
</cp:coreProperties>
</file>